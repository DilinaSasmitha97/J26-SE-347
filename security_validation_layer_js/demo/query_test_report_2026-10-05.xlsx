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wmini Navodya\OneDrive\Documents\Desktop\project\J26-SE-347\security_validation_layer_js\demo\"/>
    </mc:Choice>
  </mc:AlternateContent>
  <xr:revisionPtr revIDLastSave="0" documentId="13_ncr:1_{8CDBAB69-8D82-43F8-90CC-F0048BC61A56}" xr6:coauthVersionLast="47" xr6:coauthVersionMax="47" xr10:uidLastSave="{00000000-0000-0000-0000-000000000000}"/>
  <bookViews>
    <workbookView xWindow="-108" yWindow="-108" windowWidth="23256" windowHeight="12456" xr2:uid="{00000000-000D-0000-FFFF-FFFF00000000}"/>
  </bookViews>
  <sheets>
    <sheet name="Summary" sheetId="1" r:id="rId1"/>
    <sheet name="How It Works" sheetId="2" r:id="rId2"/>
    <sheet name="Rules Explained" sheetId="3" r:id="rId3"/>
    <sheet name="All Tests" sheetId="4" r:id="rId4"/>
  </sheets>
  <definedNames>
    <definedName name="_xlnm._FilterDatabase" localSheetId="3" hidden="1">'All Tests'!$A$1:$M$301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1" i="4" l="1"/>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G41" i="1" s="1"/>
  <c r="H41" i="1" s="1"/>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G36" i="1" s="1"/>
  <c r="H36" i="1" s="1"/>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G28" i="1" s="1"/>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G26" i="1" s="1"/>
  <c r="H26" i="1" s="1"/>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G25" i="1" s="1"/>
  <c r="H25" i="1" s="1"/>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G43" i="1"/>
  <c r="F43" i="1"/>
  <c r="E43" i="1"/>
  <c r="D43" i="1"/>
  <c r="H43" i="1" s="1"/>
  <c r="G42" i="1"/>
  <c r="F42" i="1"/>
  <c r="E42" i="1"/>
  <c r="D42" i="1"/>
  <c r="H42" i="1" s="1"/>
  <c r="F41" i="1"/>
  <c r="E41" i="1"/>
  <c r="D41" i="1"/>
  <c r="G40" i="1"/>
  <c r="F40" i="1"/>
  <c r="E40" i="1"/>
  <c r="D40" i="1"/>
  <c r="H40" i="1" s="1"/>
  <c r="G39" i="1"/>
  <c r="F39" i="1"/>
  <c r="E39" i="1"/>
  <c r="D39" i="1"/>
  <c r="H39" i="1" s="1"/>
  <c r="G38" i="1"/>
  <c r="F38" i="1"/>
  <c r="E38" i="1"/>
  <c r="D38" i="1"/>
  <c r="H38" i="1" s="1"/>
  <c r="G37" i="1"/>
  <c r="F37" i="1"/>
  <c r="E37" i="1"/>
  <c r="D37" i="1"/>
  <c r="F36" i="1"/>
  <c r="E36" i="1"/>
  <c r="D36" i="1"/>
  <c r="G35" i="1"/>
  <c r="F35" i="1"/>
  <c r="E35" i="1"/>
  <c r="D35" i="1"/>
  <c r="H35" i="1" s="1"/>
  <c r="G34" i="1"/>
  <c r="F34" i="1"/>
  <c r="E34" i="1"/>
  <c r="D34" i="1"/>
  <c r="H34" i="1" s="1"/>
  <c r="G33" i="1"/>
  <c r="F33" i="1"/>
  <c r="E33" i="1"/>
  <c r="D33" i="1"/>
  <c r="H33" i="1" s="1"/>
  <c r="G32" i="1"/>
  <c r="F32" i="1"/>
  <c r="E32" i="1"/>
  <c r="D32" i="1"/>
  <c r="H32" i="1" s="1"/>
  <c r="G31" i="1"/>
  <c r="F31" i="1"/>
  <c r="E31" i="1"/>
  <c r="D31" i="1"/>
  <c r="G30" i="1"/>
  <c r="F30" i="1"/>
  <c r="E30" i="1"/>
  <c r="D30" i="1"/>
  <c r="H30" i="1" s="1"/>
  <c r="G29" i="1"/>
  <c r="F29" i="1"/>
  <c r="E29" i="1"/>
  <c r="D29" i="1"/>
  <c r="H29" i="1" s="1"/>
  <c r="F28" i="1"/>
  <c r="E28" i="1"/>
  <c r="D28" i="1"/>
  <c r="G27" i="1"/>
  <c r="F27" i="1"/>
  <c r="E27" i="1"/>
  <c r="D27" i="1"/>
  <c r="H27" i="1" s="1"/>
  <c r="F26" i="1"/>
  <c r="E26" i="1"/>
  <c r="D26" i="1"/>
  <c r="F25" i="1"/>
  <c r="E25" i="1"/>
  <c r="D25" i="1"/>
  <c r="G24" i="1"/>
  <c r="F24" i="1"/>
  <c r="E24" i="1"/>
  <c r="D24" i="1"/>
  <c r="H24" i="1" s="1"/>
  <c r="G23" i="1"/>
  <c r="F23" i="1"/>
  <c r="E23" i="1"/>
  <c r="D23" i="1"/>
  <c r="G22" i="1"/>
  <c r="F22" i="1"/>
  <c r="E22" i="1"/>
  <c r="D22" i="1"/>
  <c r="H22" i="1" s="1"/>
  <c r="G21" i="1"/>
  <c r="F21" i="1"/>
  <c r="E21" i="1"/>
  <c r="D21" i="1"/>
  <c r="H21" i="1" s="1"/>
  <c r="G20" i="1"/>
  <c r="F20" i="1"/>
  <c r="E20" i="1"/>
  <c r="D20" i="1"/>
  <c r="G19" i="1"/>
  <c r="F19" i="1"/>
  <c r="E19" i="1"/>
  <c r="D19" i="1"/>
  <c r="H19" i="1" s="1"/>
  <c r="G18" i="1"/>
  <c r="F18" i="1"/>
  <c r="E18" i="1"/>
  <c r="D18" i="1"/>
  <c r="H18" i="1" s="1"/>
  <c r="G17" i="1"/>
  <c r="F17" i="1"/>
  <c r="E17" i="1"/>
  <c r="D17" i="1"/>
  <c r="H17" i="1" s="1"/>
  <c r="B13" i="1"/>
  <c r="B12" i="1"/>
  <c r="B6" i="1"/>
  <c r="B11" i="1" s="1"/>
  <c r="B5" i="1"/>
  <c r="B10" i="1" s="1"/>
  <c r="B4" i="1"/>
  <c r="H28" i="1" l="1"/>
  <c r="H23" i="1"/>
  <c r="H37" i="1"/>
  <c r="H31" i="1"/>
  <c r="H20" i="1"/>
  <c r="B7" i="1"/>
  <c r="B9" i="1" s="1"/>
  <c r="B8" i="1"/>
</calcChain>
</file>

<file path=xl/sharedStrings.xml><?xml version="1.0" encoding="utf-8"?>
<sst xmlns="http://schemas.openxmlformats.org/spreadsheetml/2006/main" count="3623" uniqueCount="887">
  <si>
    <t>SQL Validator — Test Report</t>
  </si>
  <si>
    <t>Component: AI Query Security &amp; Validation Layer (Navodya P G D, IT23144330) · J26-SE-347 · All queries run through the current validate() on 5 Oct 2026</t>
  </si>
  <si>
    <t>Total test queries</t>
  </si>
  <si>
    <t>Expected BLOCKED (attacks)</t>
  </si>
  <si>
    <t>Expected SAFE (normal queries)</t>
  </si>
  <si>
    <t>Passed</t>
  </si>
  <si>
    <t>Failed</t>
  </si>
  <si>
    <t>Pass rate</t>
  </si>
  <si>
    <t>Attacks blocked (detection rate)</t>
  </si>
  <si>
    <t>Safe queries wrongly blocked (false-positive rate)</t>
  </si>
  <si>
    <t>From first test pass (23 Sep)</t>
  </si>
  <si>
    <t>New for rules added in tuning</t>
  </si>
  <si>
    <t>Results by category</t>
  </si>
  <si>
    <t>Category</t>
  </si>
  <si>
    <t>Rule (violation type)</t>
  </si>
  <si>
    <t>What it tests</t>
  </si>
  <si>
    <t>Tests</t>
  </si>
  <si>
    <t>Expected BLOCKED</t>
  </si>
  <si>
    <t>Expected SAFE</t>
  </si>
  <si>
    <t>destructive_drop</t>
  </si>
  <si>
    <t>blocked_statement_type</t>
  </si>
  <si>
    <t>DROP TABLE deletes a whole table</t>
  </si>
  <si>
    <t>delete_no_where</t>
  </si>
  <si>
    <t>delete_without_where</t>
  </si>
  <si>
    <t>DELETE with no WHERE wipes every row</t>
  </si>
  <si>
    <t>truncate</t>
  </si>
  <si>
    <t>TRUNCATE empties a table</t>
  </si>
  <si>
    <t>update_no_where</t>
  </si>
  <si>
    <t>update_without_where</t>
  </si>
  <si>
    <t>UPDATE with no WHERE changes every row</t>
  </si>
  <si>
    <t>alter</t>
  </si>
  <si>
    <t>ALTER changes the table structure</t>
  </si>
  <si>
    <t>drop_database</t>
  </si>
  <si>
    <t>DROP DATABASE deletes everything</t>
  </si>
  <si>
    <t>unauthorized_write</t>
  </si>
  <si>
    <t>write_not_authorized</t>
  </si>
  <si>
    <t>Writes without the "authorize writes" flag</t>
  </si>
  <si>
    <t>stacked</t>
  </si>
  <si>
    <t>stacked_statements</t>
  </si>
  <si>
    <t>Two statements in one request (SELECT ...; DROP ...)</t>
  </si>
  <si>
    <t>tautology</t>
  </si>
  <si>
    <t>tautology_predicate</t>
  </si>
  <si>
    <t>Always-true conditions such as OR 1=1</t>
  </si>
  <si>
    <t>comment_truncation</t>
  </si>
  <si>
    <t>sql_comment_present</t>
  </si>
  <si>
    <t>Comments that cut off the rest of the query</t>
  </si>
  <si>
    <t>union_exfiltration</t>
  </si>
  <si>
    <t>union_query</t>
  </si>
  <si>
    <t>UNION pulls in rows from another table</t>
  </si>
  <si>
    <t>dangerous_function</t>
  </si>
  <si>
    <t>SLEEP, LOAD_FILE, BENCHMARK, INTO OUTFILE ...</t>
  </si>
  <si>
    <t>privilege_statement</t>
  </si>
  <si>
    <t>GRANT / REVOKE / REPLACE change permissions or overwrite rows</t>
  </si>
  <si>
    <t>system_function</t>
  </si>
  <si>
    <t>USER(), VERSION(), DATABASE() reveal server details</t>
  </si>
  <si>
    <t>nested_union</t>
  </si>
  <si>
    <t>UNION hidden inside a subquery</t>
  </si>
  <si>
    <t>nested_dangerous_function</t>
  </si>
  <si>
    <t>Dangerous function hidden inside a subquery</t>
  </si>
  <si>
    <t>subquery_depth</t>
  </si>
  <si>
    <t>excessive_subquery_depth</t>
  </si>
  <si>
    <t>Queries nested too deep</t>
  </si>
  <si>
    <t>benign_complex</t>
  </si>
  <si>
    <t>(none)</t>
  </si>
  <si>
    <t>Normal business reports that must pass</t>
  </si>
  <si>
    <t>benign_write</t>
  </si>
  <si>
    <t>Legitimate writes when writes are authorized</t>
  </si>
  <si>
    <t>system_schema</t>
  </si>
  <si>
    <t>system_schema_access</t>
  </si>
  <si>
    <t>information_schema, mysql.user, performance_schema, sys</t>
  </si>
  <si>
    <t>system_variable</t>
  </si>
  <si>
    <t>@@version and other server variables</t>
  </si>
  <si>
    <t>tautology_advanced</t>
  </si>
  <si>
    <t>Always-true tricks found by working out the maths (OR 1, OR id = id)</t>
  </si>
  <si>
    <t>error_based_function</t>
  </si>
  <si>
    <t>EXTRACTVALUE / UPDATEXML leak data through error messages; malicious UDFs</t>
  </si>
  <si>
    <t>locking_read</t>
  </si>
  <si>
    <t>FOR UPDATE / LOCK IN SHARE MODE lock rows</t>
  </si>
  <si>
    <t>resource_limit</t>
  </si>
  <si>
    <t>excessive_limit / too_many_tables</t>
  </si>
  <si>
    <t>Huge LIMIT or too many joined tables</t>
  </si>
  <si>
    <t>comment_advanced</t>
  </si>
  <si>
    <t>Real comments blocked; # or -- inside text allowed</t>
  </si>
  <si>
    <t>schema_allowlist</t>
  </si>
  <si>
    <t>table_not_allowed / column_not_allowed</t>
  </si>
  <si>
    <t>Only tables and columns on the allowlist</t>
  </si>
  <si>
    <t>Yellow = category added after the first test pass.</t>
  </si>
  <si>
    <t>What changed since the first test pass (23 Sep)</t>
  </si>
  <si>
    <t>Rules added</t>
  </si>
  <si>
    <t>system_schema_access, system_variable, locking_read, excessive_limit, too_many_tables, schema allowlist (table/column), more dangerous functions (EXTRACTVALUE, UPDATEXML, NAME_CONST, SYS_EXEC, SYS_EVAL, CONNECTION_ID).</t>
  </si>
  <si>
    <t>Rules improved</t>
  </si>
  <si>
    <t>Tautology check works out constant maths (OR 1, OR 2&gt;1, OR id=id, OR NOT 0) and also checks HAVING and JOIN ... ON. Stacked queries now report stacked_statements.</t>
  </si>
  <si>
    <t>False alarm fixed</t>
  </si>
  <si>
    <t># and -- inside quoted text (e.g. 'item #3') are no longer treated as comments.</t>
  </si>
  <si>
    <t>Behaviour change</t>
  </si>
  <si>
    <t>WHERE 1=1 AND tenant_id = 1 is now SAFE: the AND still filters rows. WHERE 1=1 alone and ... OR 1=1 stay BLOCKED.</t>
  </si>
  <si>
    <t>Regression found by this re-run</t>
  </si>
  <si>
    <t>comment-01..08 ('admin'--' ...) became SAFE after the comment fix; restored on 5 Oct 2026 by blocking any -- outside quotes.</t>
  </si>
  <si>
    <t>Implementation</t>
  </si>
  <si>
    <t>First pass ran on the earlier Python/sqlglot version; this run uses the Node.js node-sql-parser version, so some messages differ (see Note column).</t>
  </si>
  <si>
    <t>What happens inside validate(sql)</t>
  </si>
  <si>
    <t>File: security_validation_layer_js/src/security-middleware.js — the checks run in this order on every query.</t>
  </si>
  <si>
    <t>Step</t>
  </si>
  <si>
    <t>Check</t>
  </si>
  <si>
    <t>In simple words</t>
  </si>
  <si>
    <t>1</t>
  </si>
  <si>
    <t>Look for stacked statements</t>
  </si>
  <si>
    <t>Before anything else, check the raw text for more than one statement (SELECT ...; DROP ...).</t>
  </si>
  <si>
    <t>2</t>
  </si>
  <si>
    <t>Parse into a tree (AST)</t>
  </si>
  <si>
    <t>node-sql-parser turns the SQL into a tree. If it cannot be parsed, the query is refused (parse_error). Example: SELECT name FROM customers WHERE id = 5 becomes SELECT -&gt; columns: name, from: customers, where: id = 5.</t>
  </si>
  <si>
    <t>3</t>
  </si>
  <si>
    <t>Check the statement type</t>
  </si>
  <si>
    <t>Only SELECT by default. INSERT/UPDATE/DELETE only with Authorize Writes. DROP, TRUNCATE, ALTER, CREATE, GRANT, REVOKE, REPLACE: never.</t>
  </si>
  <si>
    <t>4</t>
  </si>
  <si>
    <t>Walk the whole tree for functions</t>
  </si>
  <si>
    <t>Every function call anywhere (also inside subqueries) is compared with the blocklist; INTO OUTFILE/DUMPFILE are checked as clauses.</t>
  </si>
  <si>
    <t>5</t>
  </si>
  <si>
    <t>System variables and schemas</t>
  </si>
  <si>
    <t>@@version-style variables and tables in information_schema / mysql / performance_schema / sys are refused.</t>
  </si>
  <si>
    <t>6</t>
  </si>
  <si>
    <t>Schema allowlist (when configured)</t>
  </si>
  <si>
    <t>Every table and column must be listed; SELECT * on a table with restricted columns is refused.</t>
  </si>
  <si>
    <t>7</t>
  </si>
  <si>
    <t>Always-true conditions</t>
  </si>
  <si>
    <t>Every WHERE, HAVING and JOIN ... ON is evaluated like MySQL would: if it, or any OR branch, is always true, it is refused.</t>
  </si>
  <si>
    <t>8</t>
  </si>
  <si>
    <t>Row locks and size</t>
  </si>
  <si>
    <t>FOR UPDATE / LOCK IN SHARE MODE, LIMIT above 10,000, more than 8 tables.</t>
  </si>
  <si>
    <t>9</t>
  </si>
  <si>
    <t>DELETE/UPDATE without WHERE, UNION, comments, nesting depth</t>
  </si>
  <si>
    <t>The remaining structural checks.</t>
  </si>
  <si>
    <t>10</t>
  </si>
  <si>
    <t>Verdict</t>
  </si>
  <si>
    <t>No violations -&gt; SAFE. Any violation -&gt; BLOCKED, with every reason listed (a query can have several).</t>
  </si>
  <si>
    <t>Why a tree and not plain text?</t>
  </si>
  <si>
    <t>A text search for "DROP" would miss "dRoP", extra spaces or comments, and would wrongly block a product called "Drop Shipping". The tree shows what the query really does, whatever it looks like.</t>
  </si>
  <si>
    <t>Every rule in validate(), in simple words</t>
  </si>
  <si>
    <t>Each row is one "violation type" — the name the validator gives the problem it found.</t>
  </si>
  <si>
    <t>Violation type</t>
  </si>
  <si>
    <t>What it means</t>
  </si>
  <si>
    <t>Why it is dangerous</t>
  </si>
  <si>
    <t>Example that is BLOCKED</t>
  </si>
  <si>
    <t>Example that is SAFE</t>
  </si>
  <si>
    <t>Added</t>
  </si>
  <si>
    <t>The statement is a kind that is never allowed: DROP, TRUNCATE, ALTER, CREATE, GRANT, REVOKE, REPLACE (or anything that is not SELECT/INSERT/UPDATE/DELETE).</t>
  </si>
  <si>
    <t>These change or destroy the database itself, or give someone permissions. An AI should never need them to answer a question.</t>
  </si>
  <si>
    <t>DROP TABLE orders;</t>
  </si>
  <si>
    <t>SELECT * FROM orders WHERE id = 1;</t>
  </si>
  <si>
    <t>First pass</t>
  </si>
  <si>
    <t>INSERT, UPDATE or DELETE when writes were not authorized for this request.</t>
  </si>
  <si>
    <t>By default the layer is read-only. Writes go through the Controlled Write Protocol (preview, approve, commit).</t>
  </si>
  <si>
    <t>UPDATE tickets SET status = 'closed' WHERE id = 2;</t>
  </si>
  <si>
    <t>Same query with Authorize Writes = TRUE</t>
  </si>
  <si>
    <t>delete_without_where / update_without_where</t>
  </si>
  <si>
    <t>A DELETE or UPDATE with no WHERE clause.</t>
  </si>
  <si>
    <t>It would change or delete every row in the table.</t>
  </si>
  <si>
    <t>DELETE FROM orders;</t>
  </si>
  <si>
    <t>DELETE FROM orders WHERE id = 2;</t>
  </si>
  <si>
    <t>Two or more statements in one request, separated by ;</t>
  </si>
  <si>
    <t>Classic injection: a harmless SELECT followed by a hidden DROP.</t>
  </si>
  <si>
    <t>SELECT * FROM orders; DROP TABLE orders;</t>
  </si>
  <si>
    <t>SELECT * FROM orders WHERE id = 2;</t>
  </si>
  <si>
    <t>First pass (now named)</t>
  </si>
  <si>
    <t>parse_error</t>
  </si>
  <si>
    <t>The SQL could not be turned into a tree (AST).</t>
  </si>
  <si>
    <t>If the validator cannot understand a query it cannot check it, so it refuses it (deny by default).</t>
  </si>
  <si>
    <t>SELECT * FROM WHERE;</t>
  </si>
  <si>
    <t>-</t>
  </si>
  <si>
    <t>A WHERE, HAVING or JOIN ... ON condition that is always true, or an OR branch that is always true.</t>
  </si>
  <si>
    <t>Makes the filter useless, so the query returns every row (including other tenants' or other users' data).</t>
  </si>
  <si>
    <t>SELECT * FROM orders WHERE id = 5 OR 2 &gt; 1;</t>
  </si>
  <si>
    <t>SELECT * FROM orders WHERE 1=1 AND tenant_id = 1;</t>
  </si>
  <si>
    <t>Improved in tuning</t>
  </si>
  <si>
    <t>A comment marker (--, #, /* */) outside quoted text.</t>
  </si>
  <si>
    <t>A comment can cut off the rest of the query, e.g. removing the password check in 'admin'-- ...</t>
  </si>
  <si>
    <t>SELECT * FROM users WHERE name = 'admin'--' AND password = 'x';</t>
  </si>
  <si>
    <t>SELECT * FROM orders WHERE product = 'item #3';</t>
  </si>
  <si>
    <t>The query uses UNION anywhere (also inside subqueries).</t>
  </si>
  <si>
    <t>UNION glues rows from a second, unrelated query onto the result, e.g. a password table.</t>
  </si>
  <si>
    <t>SELECT name FROM customers UNION SELECT password FROM admin_users;</t>
  </si>
  <si>
    <t>SELECT name FROM customers WHERE id = 1;</t>
  </si>
  <si>
    <t>A function on the blocklist (config/dangerous_functions.json), or INTO OUTFILE / DUMPFILE.</t>
  </si>
  <si>
    <t>SLEEP/BENCHMARK slow the server; LOAD_FILE/OUTFILE read or write server files; USER()/VERSION() help attackers; EXTRACTVALUE/UPDATEXML leak data in error messages.</t>
  </si>
  <si>
    <t>SELECT LOAD_FILE('/etc/passwd');</t>
  </si>
  <si>
    <t>SELECT CONCAT(product, ' - ', status) FROM orders;</t>
  </si>
  <si>
    <t>First pass + more in tuning</t>
  </si>
  <si>
    <t>Subqueries nested more than 6 levels deep.</t>
  </si>
  <si>
    <t>Real reports need 2-3 levels; deeper nesting is obfuscation or an attempt to overload the database.</t>
  </si>
  <si>
    <t>SELECT ... (7 nested SELECTs)</t>
  </si>
  <si>
    <t>SELECT ... (3 nested SELECTs)</t>
  </si>
  <si>
    <t>The query reads MySQL's own system databases: information_schema, mysql, performance_schema, sys.</t>
  </si>
  <si>
    <t>information_schema maps every table and column; mysql.user holds password hashes.</t>
  </si>
  <si>
    <t>SELECT * FROM information_schema.tables;</t>
  </si>
  <si>
    <t>SELECT * FROM orders;</t>
  </si>
  <si>
    <t>Tuning</t>
  </si>
  <si>
    <t>The query reads a server variable such as @@version or @@hostname.</t>
  </si>
  <si>
    <t>Tells an attacker the exact MySQL version and machine, to pick a matching exploit.</t>
  </si>
  <si>
    <t>SELECT @@version;</t>
  </si>
  <si>
    <t>SELECT id FROM orders;</t>
  </si>
  <si>
    <t>SELECT ... FOR UPDATE or LOCK IN SHARE MODE.</t>
  </si>
  <si>
    <t>A read query that locks rows can block other customers' work (denial of service).</t>
  </si>
  <si>
    <t>SELECT * FROM orders FOR UPDATE;</t>
  </si>
  <si>
    <t>excessive_limit</t>
  </si>
  <si>
    <t>LIMIT asks for more than 10,000 rows.</t>
  </si>
  <si>
    <t>Dumps a whole table in one request.</t>
  </si>
  <si>
    <t>SELECT * FROM orders LIMIT 100000000;</t>
  </si>
  <si>
    <t>SELECT * FROM orders LIMIT 100;</t>
  </si>
  <si>
    <t>too_many_tables</t>
  </si>
  <si>
    <t>More than 8 table references in one query.</t>
  </si>
  <si>
    <t>Many joined tables can multiply into a huge result and overload the database.</t>
  </si>
  <si>
    <t>SELECT ... FROM orders a, orders b, ... (9 tables)</t>
  </si>
  <si>
    <t>SELECT ... (8 tables or fewer)</t>
  </si>
  <si>
    <t>table_not_allowed</t>
  </si>
  <si>
    <t>A table that is not on the schema allowlist (config/schema_allowlist.json).</t>
  </si>
  <si>
    <t>Deny by default: the AI may only touch tables the business has approved.</t>
  </si>
  <si>
    <t>SELECT name FROM payroll_salaries;</t>
  </si>
  <si>
    <t>column_not_allowed</t>
  </si>
  <si>
    <t>A column not on the allowlist, or SELECT * on a table with restricted columns.</t>
  </si>
  <si>
    <t>Keeps sensitive columns such as password_hash out of every query, even when renamed or hidden in a subquery.</t>
  </si>
  <si>
    <t>SELECT password_hash FROM customers;</t>
  </si>
  <si>
    <t>SELECT id, name, email FROM customers;</t>
  </si>
  <si>
    <t>ID</t>
  </si>
  <si>
    <t>SQL Query</t>
  </si>
  <si>
    <t>Authorize Writes</t>
  </si>
  <si>
    <t>Allowlist (svl_demo)</t>
  </si>
  <si>
    <t>Expected</t>
  </si>
  <si>
    <t>Actual Result</t>
  </si>
  <si>
    <t>Pass?</t>
  </si>
  <si>
    <t>Violation Types</t>
  </si>
  <si>
    <t>Violation Details</t>
  </si>
  <si>
    <t>First Pass Result (23 Sep)</t>
  </si>
  <si>
    <t>Note</t>
  </si>
  <si>
    <t>Source</t>
  </si>
  <si>
    <t>drop-01</t>
  </si>
  <si>
    <t>DROP TABLE customers;</t>
  </si>
  <si>
    <t>FALSE</t>
  </si>
  <si>
    <t>BLOCKED</t>
  </si>
  <si>
    <t>blocked_statement_type: DROP</t>
  </si>
  <si>
    <t>First test pass (23 Sep)</t>
  </si>
  <si>
    <t>drop-01-safe</t>
  </si>
  <si>
    <t>SELECT * FROM customers;</t>
  </si>
  <si>
    <t>SAFE</t>
  </si>
  <si>
    <t>drop-02</t>
  </si>
  <si>
    <t>drop-02-safe</t>
  </si>
  <si>
    <t>drop-03</t>
  </si>
  <si>
    <t>DROP TABLE invoices;</t>
  </si>
  <si>
    <t>drop-03-safe</t>
  </si>
  <si>
    <t>SELECT * FROM invoices;</t>
  </si>
  <si>
    <t>drop-04</t>
  </si>
  <si>
    <t>DROP TABLE employees;</t>
  </si>
  <si>
    <t>drop-04-safe</t>
  </si>
  <si>
    <t>SELECT * FROM employees;</t>
  </si>
  <si>
    <t>drop-05</t>
  </si>
  <si>
    <t>DROP TABLE salaries;</t>
  </si>
  <si>
    <t>drop-05-safe</t>
  </si>
  <si>
    <t>SELECT * FROM salaries;</t>
  </si>
  <si>
    <t>drop-06</t>
  </si>
  <si>
    <t>DROP TABLE products;</t>
  </si>
  <si>
    <t>drop-06-safe</t>
  </si>
  <si>
    <t>SELECT * FROM products;</t>
  </si>
  <si>
    <t>drop-07</t>
  </si>
  <si>
    <t>DROP TABLE sessions;</t>
  </si>
  <si>
    <t>drop-07-safe</t>
  </si>
  <si>
    <t>SELECT * FROM sessions;</t>
  </si>
  <si>
    <t>drop-08</t>
  </si>
  <si>
    <t>DROP TABLE accounts;</t>
  </si>
  <si>
    <t>drop-08-safe</t>
  </si>
  <si>
    <t>SELECT * FROM accounts;</t>
  </si>
  <si>
    <t>delete-nowhere-01</t>
  </si>
  <si>
    <t>DELETE FROM customers;</t>
  </si>
  <si>
    <t>write_not_authorized, delete_without_where</t>
  </si>
  <si>
    <t>write_not_authorized: DELETE, delete_without_where: DELETE has no WHERE clause — would affect every row</t>
  </si>
  <si>
    <t>delete-where-01</t>
  </si>
  <si>
    <t>DELETE FROM customers WHERE id = 1;</t>
  </si>
  <si>
    <t>TRUE</t>
  </si>
  <si>
    <t>delete-nowhere-02</t>
  </si>
  <si>
    <t>delete-where-02</t>
  </si>
  <si>
    <t>delete-nowhere-03</t>
  </si>
  <si>
    <t>DELETE FROM invoices;</t>
  </si>
  <si>
    <t>delete-where-03</t>
  </si>
  <si>
    <t>DELETE FROM invoices WHERE id = 3;</t>
  </si>
  <si>
    <t>delete-nowhere-04</t>
  </si>
  <si>
    <t>DELETE FROM employees;</t>
  </si>
  <si>
    <t>delete-where-04</t>
  </si>
  <si>
    <t>DELETE FROM employees WHERE id = 4;</t>
  </si>
  <si>
    <t>delete-nowhere-05</t>
  </si>
  <si>
    <t>DELETE FROM salaries;</t>
  </si>
  <si>
    <t>delete-where-05</t>
  </si>
  <si>
    <t>DELETE FROM salaries WHERE id = 5;</t>
  </si>
  <si>
    <t>delete-nowhere-06</t>
  </si>
  <si>
    <t>DELETE FROM products;</t>
  </si>
  <si>
    <t>delete-where-06</t>
  </si>
  <si>
    <t>DELETE FROM products WHERE id = 6;</t>
  </si>
  <si>
    <t>delete-nowhere-07</t>
  </si>
  <si>
    <t>DELETE FROM sessions;</t>
  </si>
  <si>
    <t>delete-where-07</t>
  </si>
  <si>
    <t>DELETE FROM sessions WHERE id = 7;</t>
  </si>
  <si>
    <t>delete-nowhere-08</t>
  </si>
  <si>
    <t>DELETE FROM accounts;</t>
  </si>
  <si>
    <t>delete-where-08</t>
  </si>
  <si>
    <t>DELETE FROM accounts WHERE id = 8;</t>
  </si>
  <si>
    <t>truncate-01</t>
  </si>
  <si>
    <t>TRUNCATE TABLE customers;</t>
  </si>
  <si>
    <t>blocked_statement_type: TRUNCATE</t>
  </si>
  <si>
    <t>truncate-01-safe</t>
  </si>
  <si>
    <t>SELECT COUNT(*) FROM customers;</t>
  </si>
  <si>
    <t>truncate-02</t>
  </si>
  <si>
    <t>TRUNCATE TABLE orders;</t>
  </si>
  <si>
    <t>truncate-02-safe</t>
  </si>
  <si>
    <t>SELECT COUNT(*) FROM orders;</t>
  </si>
  <si>
    <t>truncate-03</t>
  </si>
  <si>
    <t>TRUNCATE TABLE invoices;</t>
  </si>
  <si>
    <t>truncate-03-safe</t>
  </si>
  <si>
    <t>SELECT COUNT(*) FROM invoices;</t>
  </si>
  <si>
    <t>truncate-04</t>
  </si>
  <si>
    <t>TRUNCATE TABLE employees;</t>
  </si>
  <si>
    <t>truncate-04-safe</t>
  </si>
  <si>
    <t>SELECT COUNT(*) FROM employees;</t>
  </si>
  <si>
    <t>truncate-05</t>
  </si>
  <si>
    <t>TRUNCATE TABLE salaries;</t>
  </si>
  <si>
    <t>truncate-05-safe</t>
  </si>
  <si>
    <t>SELECT COUNT(*) FROM salaries;</t>
  </si>
  <si>
    <t>truncate-06</t>
  </si>
  <si>
    <t>TRUNCATE TABLE products;</t>
  </si>
  <si>
    <t>truncate-06-safe</t>
  </si>
  <si>
    <t>SELECT COUNT(*) FROM products;</t>
  </si>
  <si>
    <t>update-nowhere-01</t>
  </si>
  <si>
    <t>UPDATE customers SET salary = 0;</t>
  </si>
  <si>
    <t>write_not_authorized, update_without_where</t>
  </si>
  <si>
    <t>write_not_authorized: UPDATE, update_without_where: UPDATE has no WHERE clause — would affect every row</t>
  </si>
  <si>
    <t>update-where-01</t>
  </si>
  <si>
    <t>UPDATE customers SET salary = 100 WHERE id = 1;</t>
  </si>
  <si>
    <t>update-nowhere-02</t>
  </si>
  <si>
    <t>UPDATE orders SET balance = 0;</t>
  </si>
  <si>
    <t>update-where-02</t>
  </si>
  <si>
    <t>UPDATE orders SET balance = 100 WHERE id = 2;</t>
  </si>
  <si>
    <t>update-nowhere-03</t>
  </si>
  <si>
    <t>UPDATE invoices SET status = 0;</t>
  </si>
  <si>
    <t>update-where-03</t>
  </si>
  <si>
    <t>UPDATE invoices SET status = 100 WHERE id = 3;</t>
  </si>
  <si>
    <t>update-nowhere-04</t>
  </si>
  <si>
    <t>UPDATE employees SET quantity = 0;</t>
  </si>
  <si>
    <t>update-where-04</t>
  </si>
  <si>
    <t>UPDATE employees SET quantity = 100 WHERE id = 4;</t>
  </si>
  <si>
    <t>update-nowhere-05</t>
  </si>
  <si>
    <t>UPDATE salaries SET price = 0;</t>
  </si>
  <si>
    <t>update-where-05</t>
  </si>
  <si>
    <t>UPDATE salaries SET price = 100 WHERE id = 5;</t>
  </si>
  <si>
    <t>update-nowhere-06</t>
  </si>
  <si>
    <t>UPDATE products SET score = 0;</t>
  </si>
  <si>
    <t>update-where-06</t>
  </si>
  <si>
    <t>UPDATE products SET score = 100 WHERE id = 6;</t>
  </si>
  <si>
    <t>update-nowhere-07</t>
  </si>
  <si>
    <t>UPDATE sessions SET level = 0;</t>
  </si>
  <si>
    <t>update-where-07</t>
  </si>
  <si>
    <t>UPDATE sessions SET level = 100 WHERE id = 7;</t>
  </si>
  <si>
    <t>update-nowhere-08</t>
  </si>
  <si>
    <t>UPDATE accounts SET credit_limit = 0;</t>
  </si>
  <si>
    <t>update-where-08</t>
  </si>
  <si>
    <t>UPDATE accounts SET credit_limit = 100 WHERE id = 8;</t>
  </si>
  <si>
    <t>alter-01</t>
  </si>
  <si>
    <t>ALTER TABLE customers DROP COLUMN tenant_id;</t>
  </si>
  <si>
    <t>blocked_statement_type: ALTER</t>
  </si>
  <si>
    <t>alter-01-safe</t>
  </si>
  <si>
    <t>SELECT tenant_id FROM customers WHERE id = 1;</t>
  </si>
  <si>
    <t>alter-02</t>
  </si>
  <si>
    <t>ALTER TABLE orders DROP COLUMN tenant_id;</t>
  </si>
  <si>
    <t>alter-02-safe</t>
  </si>
  <si>
    <t>SELECT tenant_id FROM orders WHERE id = 2;</t>
  </si>
  <si>
    <t>alter-03</t>
  </si>
  <si>
    <t>ALTER TABLE invoices DROP COLUMN tenant_id;</t>
  </si>
  <si>
    <t>alter-03-safe</t>
  </si>
  <si>
    <t>SELECT tenant_id FROM invoices WHERE id = 3;</t>
  </si>
  <si>
    <t>alter-04</t>
  </si>
  <si>
    <t>ALTER TABLE employees DROP COLUMN tenant_id;</t>
  </si>
  <si>
    <t>alter-04-safe</t>
  </si>
  <si>
    <t>SELECT tenant_id FROM employees WHERE id = 4;</t>
  </si>
  <si>
    <t>alter-05</t>
  </si>
  <si>
    <t>ALTER TABLE salaries DROP COLUMN tenant_id;</t>
  </si>
  <si>
    <t>alter-05-safe</t>
  </si>
  <si>
    <t>SELECT tenant_id FROM salaries WHERE id = 5;</t>
  </si>
  <si>
    <t>dropdb-01</t>
  </si>
  <si>
    <t>DROP DATABASE production;</t>
  </si>
  <si>
    <t>dropdb-02</t>
  </si>
  <si>
    <t>DROP DATABASE sales_db;</t>
  </si>
  <si>
    <t>dropdb-03</t>
  </si>
  <si>
    <t>DROP DATABASE hr_prod;</t>
  </si>
  <si>
    <t>dropdb-04</t>
  </si>
  <si>
    <t>DROP DATABASE finance_live;</t>
  </si>
  <si>
    <t>dropdb-05</t>
  </si>
  <si>
    <t>DROP DATABASE customer_data;</t>
  </si>
  <si>
    <t>unauth-write-01</t>
  </si>
  <si>
    <t>UPDATE tenants SET status = 'closed' WHERE id = 1;</t>
  </si>
  <si>
    <t>write_not_authorized: UPDATE</t>
  </si>
  <si>
    <t>unauth-write-02</t>
  </si>
  <si>
    <t>UPDATE support_tickets SET status = 'closed' WHERE id = 2;</t>
  </si>
  <si>
    <t>unauth-write-03</t>
  </si>
  <si>
    <t>UPDATE finance_records SET status = 'closed' WHERE id = 3;</t>
  </si>
  <si>
    <t>unauth-write-04</t>
  </si>
  <si>
    <t>UPDATE hr_records SET status = 'closed' WHERE id = 4;</t>
  </si>
  <si>
    <t>unauth-write-05</t>
  </si>
  <si>
    <t>UPDATE sales_transactions SET status = 'closed' WHERE id = 5;</t>
  </si>
  <si>
    <t>unauth-write-06</t>
  </si>
  <si>
    <t>UPDATE inventory SET status = 'closed' WHERE id = 6;</t>
  </si>
  <si>
    <t>unauth-write-07</t>
  </si>
  <si>
    <t>UPDATE departments SET status = 'closed' WHERE id = 7;</t>
  </si>
  <si>
    <t>unauth-write-08</t>
  </si>
  <si>
    <t>UPDATE contracts SET status = 'closed' WHERE id = 8;</t>
  </si>
  <si>
    <t>stacked-01</t>
  </si>
  <si>
    <t>SELECT * FROM customers WHERE id = 1; DROP TABLE customers;</t>
  </si>
  <si>
    <t>stacked_statements, parse_error</t>
  </si>
  <si>
    <t>stacked_statements: Multiple SQL statements found in one request, parse_error: Multiple statements (2) in a single request are not allowed</t>
  </si>
  <si>
    <t>Now also reports stacked_statements (first pass only said parse_error).</t>
  </si>
  <si>
    <t>stacked-01-safe</t>
  </si>
  <si>
    <t>SELECT * FROM customers WHERE id = 1;</t>
  </si>
  <si>
    <t>stacked-02</t>
  </si>
  <si>
    <t>SELECT * FROM orders WHERE id = 2; DROP TABLE orders;</t>
  </si>
  <si>
    <t>stacked-02-safe</t>
  </si>
  <si>
    <t>stacked-03</t>
  </si>
  <si>
    <t>SELECT * FROM invoices WHERE id = 3; DROP TABLE invoices;</t>
  </si>
  <si>
    <t>stacked-03-safe</t>
  </si>
  <si>
    <t>SELECT * FROM invoices WHERE id = 3;</t>
  </si>
  <si>
    <t>stacked-04</t>
  </si>
  <si>
    <t>SELECT * FROM employees WHERE id = 4; DROP TABLE employees;</t>
  </si>
  <si>
    <t>stacked-04-safe</t>
  </si>
  <si>
    <t>SELECT * FROM employees WHERE id = 4;</t>
  </si>
  <si>
    <t>stacked-05</t>
  </si>
  <si>
    <t>SELECT * FROM salaries WHERE id = 5; DROP TABLE salaries;</t>
  </si>
  <si>
    <t>stacked-05-safe</t>
  </si>
  <si>
    <t>SELECT * FROM salaries WHERE id = 5;</t>
  </si>
  <si>
    <t>stacked-06</t>
  </si>
  <si>
    <t>SELECT * FROM products WHERE id = 6; DROP TABLE products;</t>
  </si>
  <si>
    <t>stacked-06-safe</t>
  </si>
  <si>
    <t>SELECT * FROM products WHERE id = 6;</t>
  </si>
  <si>
    <t>stacked-07</t>
  </si>
  <si>
    <t>SELECT * FROM sessions WHERE id = 7; DROP TABLE sessions;</t>
  </si>
  <si>
    <t>stacked-07-safe</t>
  </si>
  <si>
    <t>SELECT * FROM sessions WHERE id = 7;</t>
  </si>
  <si>
    <t>stacked-08</t>
  </si>
  <si>
    <t>SELECT * FROM accounts WHERE id = 8; DROP TABLE accounts;</t>
  </si>
  <si>
    <t>stacked-08-safe</t>
  </si>
  <si>
    <t>SELECT * FROM accounts WHERE id = 8;</t>
  </si>
  <si>
    <t>tautology-01</t>
  </si>
  <si>
    <t>SELECT * FROM users WHERE 1=1;</t>
  </si>
  <si>
    <t>tautology_predicate: Always-true condition makes a WHERE/HAVING/ON filter match every row</t>
  </si>
  <si>
    <t>Message now says the check covers WHERE, HAVING and JOIN ... ON.</t>
  </si>
  <si>
    <t>tautology-02</t>
  </si>
  <si>
    <t>SELECT * FROM users WHERE username = 'admin' OR 'a'='a';</t>
  </si>
  <si>
    <t>tautology-03</t>
  </si>
  <si>
    <t>SELECT * FROM customers WHERE name = '' OR '1'='1';</t>
  </si>
  <si>
    <t>tautology-04</t>
  </si>
  <si>
    <t>DELETE FROM sessions WHERE 1=1 OR user_id = 5;</t>
  </si>
  <si>
    <t>write_not_authorized, tautology_predicate</t>
  </si>
  <si>
    <t>write_not_authorized: DELETE, tautology_predicate: Always-true condition makes a WHERE/HAVING/ON filter match every row</t>
  </si>
  <si>
    <t>tautology-05</t>
  </si>
  <si>
    <t>SELECT * FROM accounts WHERE id = 1 OR 2=2;</t>
  </si>
  <si>
    <t>tautology-06</t>
  </si>
  <si>
    <t>SELECT * FROM orders WHERE status = 'x' OR 'y'='y';</t>
  </si>
  <si>
    <t>tautology-07</t>
  </si>
  <si>
    <t>SELECT * FROM payments WHERE amount &gt; 0 OR 5=5;</t>
  </si>
  <si>
    <t>tautology-08</t>
  </si>
  <si>
    <t>SELECT * FROM employees WHERE dept = 'sales' OR 'z'='z';</t>
  </si>
  <si>
    <t>tautology-09</t>
  </si>
  <si>
    <t>SELECT * FROM tickets WHERE priority = 'low' OR 3=3;</t>
  </si>
  <si>
    <t>tautology-10</t>
  </si>
  <si>
    <t>SELECT * FROM invoices WHERE paid = 0 OR 'admin'='admin';</t>
  </si>
  <si>
    <t>tautology-11</t>
  </si>
  <si>
    <t>SELECT * FROM vendors WHERE active = 1 OR 9=9;</t>
  </si>
  <si>
    <t>tautology-12</t>
  </si>
  <si>
    <t>SELECT * FROM contracts WHERE id = 1 OR 'true'='true';</t>
  </si>
  <si>
    <t>tautology-01-safe</t>
  </si>
  <si>
    <t>SELECT * FROM users WHERE id = 1;</t>
  </si>
  <si>
    <t>tautology-02-safe</t>
  </si>
  <si>
    <t>SELECT * FROM users WHERE username = 'admin' AND status = 'active';</t>
  </si>
  <si>
    <t>tautology-03-safe</t>
  </si>
  <si>
    <t>SELECT * FROM customers WHERE name = 'Acme Corp';</t>
  </si>
  <si>
    <t>tautology-04-safe</t>
  </si>
  <si>
    <t>SELECT * FROM sessions WHERE user_id = 5;</t>
  </si>
  <si>
    <t>tautology-05-safe</t>
  </si>
  <si>
    <t>SELECT * FROM accounts WHERE id = 1;</t>
  </si>
  <si>
    <t>tautology-06-safe</t>
  </si>
  <si>
    <t>SELECT * FROM orders WHERE status = 'shipped';</t>
  </si>
  <si>
    <t>tautology-07-safe</t>
  </si>
  <si>
    <t>SELECT * FROM payments WHERE amount &gt; 0;</t>
  </si>
  <si>
    <t>tautology-08-safe</t>
  </si>
  <si>
    <t>SELECT * FROM employees WHERE dept = 'sales';</t>
  </si>
  <si>
    <t>tautology-09-safe</t>
  </si>
  <si>
    <t>SELECT * FROM tickets WHERE priority = 'low';</t>
  </si>
  <si>
    <t>tautology-10-safe</t>
  </si>
  <si>
    <t>SELECT * FROM invoices WHERE paid = 0;</t>
  </si>
  <si>
    <t>tautology-11-safe</t>
  </si>
  <si>
    <t>SELECT * FROM vendors WHERE active = 1;</t>
  </si>
  <si>
    <t>tautology-12-safe</t>
  </si>
  <si>
    <t>SELECT * FROM contracts WHERE id = 1;</t>
  </si>
  <si>
    <t>comment-01</t>
  </si>
  <si>
    <t>SELECT * FROM customers WHERE username = 'admin'--' AND password = 'x';</t>
  </si>
  <si>
    <t>sql_comment_present: Comment marker could truncate/hide part of the query</t>
  </si>
  <si>
    <t>Regression caught by this re-run: briefly SAFE after tuning (only "-- " with a space counted as a comment), fixed 5 Oct 2026 - any -- outside quotes is blocked again.</t>
  </si>
  <si>
    <t>comment-01-safe</t>
  </si>
  <si>
    <t>SELECT * FROM customers WHERE username = 'admin' AND password_hash = 'x';</t>
  </si>
  <si>
    <t>comment-02</t>
  </si>
  <si>
    <t>SELECT * FROM orders WHERE username = 'admin'--' AND password = 'x';</t>
  </si>
  <si>
    <t>comment-02-safe</t>
  </si>
  <si>
    <t>SELECT * FROM orders WHERE username = 'admin' AND password_hash = 'x';</t>
  </si>
  <si>
    <t>comment-03</t>
  </si>
  <si>
    <t>SELECT * FROM invoices WHERE username = 'admin'--' AND password = 'x';</t>
  </si>
  <si>
    <t>comment-03-safe</t>
  </si>
  <si>
    <t>SELECT * FROM invoices WHERE username = 'admin' AND password_hash = 'x';</t>
  </si>
  <si>
    <t>comment-04</t>
  </si>
  <si>
    <t>SELECT * FROM employees WHERE username = 'admin'--' AND password = 'x';</t>
  </si>
  <si>
    <t>comment-04-safe</t>
  </si>
  <si>
    <t>SELECT * FROM employees WHERE username = 'admin' AND password_hash = 'x';</t>
  </si>
  <si>
    <t>comment-05</t>
  </si>
  <si>
    <t>SELECT * FROM salaries WHERE username = 'admin'--' AND password = 'x';</t>
  </si>
  <si>
    <t>comment-05-safe</t>
  </si>
  <si>
    <t>SELECT * FROM salaries WHERE username = 'admin' AND password_hash = 'x';</t>
  </si>
  <si>
    <t>comment-06</t>
  </si>
  <si>
    <t>SELECT * FROM products WHERE username = 'admin'--' AND password = 'x';</t>
  </si>
  <si>
    <t>comment-06-safe</t>
  </si>
  <si>
    <t>SELECT * FROM products WHERE username = 'admin' AND password_hash = 'x';</t>
  </si>
  <si>
    <t>comment-07</t>
  </si>
  <si>
    <t>SELECT * FROM sessions WHERE username = 'admin'--' AND password = 'x';</t>
  </si>
  <si>
    <t>comment-07-safe</t>
  </si>
  <si>
    <t>SELECT * FROM sessions WHERE username = 'admin' AND password_hash = 'x';</t>
  </si>
  <si>
    <t>comment-08</t>
  </si>
  <si>
    <t>SELECT * FROM accounts WHERE username = 'admin'--' AND password = 'x';</t>
  </si>
  <si>
    <t>comment-08-safe</t>
  </si>
  <si>
    <t>SELECT * FROM accounts WHERE username = 'admin' AND password_hash = 'x';</t>
  </si>
  <si>
    <t>union-01</t>
  </si>
  <si>
    <t>SELECT name, email FROM customers WHERE id = 1 UNION SELECT username, password FROM admin_users;</t>
  </si>
  <si>
    <t>union_query: UNION can merge in rows from an unrelated query</t>
  </si>
  <si>
    <t>First pass also showed a spurious "blocked_statement_type: UNKNOWN"; now only union_query.</t>
  </si>
  <si>
    <t>union-01-safe</t>
  </si>
  <si>
    <t>SELECT name, email FROM customers WHERE id = 1;</t>
  </si>
  <si>
    <t>union-02</t>
  </si>
  <si>
    <t>SELECT name, email FROM orders WHERE id = 2 UNION SELECT username, password FROM admin_users;</t>
  </si>
  <si>
    <t>union-02-safe</t>
  </si>
  <si>
    <t>SELECT name, email FROM orders WHERE id = 2;</t>
  </si>
  <si>
    <t>union-03</t>
  </si>
  <si>
    <t>SELECT name, email FROM invoices WHERE id = 3 UNION SELECT username, password FROM admin_users;</t>
  </si>
  <si>
    <t>union-03-safe</t>
  </si>
  <si>
    <t>SELECT name, email FROM invoices WHERE id = 3;</t>
  </si>
  <si>
    <t>union-04</t>
  </si>
  <si>
    <t>SELECT name, email FROM employees WHERE id = 4 UNION SELECT username, password FROM admin_users;</t>
  </si>
  <si>
    <t>union-04-safe</t>
  </si>
  <si>
    <t>SELECT name, email FROM employees WHERE id = 4;</t>
  </si>
  <si>
    <t>union-05</t>
  </si>
  <si>
    <t>SELECT name, email FROM salaries WHERE id = 5 UNION SELECT username, password FROM admin_users;</t>
  </si>
  <si>
    <t>union-05-safe</t>
  </si>
  <si>
    <t>SELECT name, email FROM salaries WHERE id = 5;</t>
  </si>
  <si>
    <t>union-06</t>
  </si>
  <si>
    <t>SELECT name, email FROM products WHERE id = 6 UNION SELECT username, password FROM admin_users;</t>
  </si>
  <si>
    <t>union-06-safe</t>
  </si>
  <si>
    <t>SELECT name, email FROM products WHERE id = 6;</t>
  </si>
  <si>
    <t>union-07</t>
  </si>
  <si>
    <t>SELECT name, email FROM sessions WHERE id = 7 UNION SELECT username, password FROM admin_users;</t>
  </si>
  <si>
    <t>union-07-safe</t>
  </si>
  <si>
    <t>SELECT name, email FROM sessions WHERE id = 7;</t>
  </si>
  <si>
    <t>union-08</t>
  </si>
  <si>
    <t>SELECT name, email FROM accounts WHERE id = 8 UNION SELECT username, password FROM admin_users;</t>
  </si>
  <si>
    <t>union-08-safe</t>
  </si>
  <si>
    <t>SELECT name, email FROM accounts WHERE id = 8;</t>
  </si>
  <si>
    <t>dangerfn-01</t>
  </si>
  <si>
    <t>dangerous_function: LOAD_FILE — Reads arbitrary files from the database server's filesystem.</t>
  </si>
  <si>
    <t>dangerfn-02</t>
  </si>
  <si>
    <t>SELECT * FROM users INTO OUTFILE '/tmp/dump.csv';</t>
  </si>
  <si>
    <t>dangerous_function: INTO OUTFILE — Writes query results out to a file on the server's filesystem (structural clause, also checked directly).</t>
  </si>
  <si>
    <t>First pass blocked this only because the parser failed (parse_error). Now recognised as INTO OUTFILE.</t>
  </si>
  <si>
    <t>dangerfn-03</t>
  </si>
  <si>
    <t>SELECT SLEEP(10) FROM users WHERE id = 1;</t>
  </si>
  <si>
    <t>dangerous_function: SLEEP — Deliberately stalls execution — used for time-based blind SQL injection or denial-of-service.</t>
  </si>
  <si>
    <t>dangerfn-04</t>
  </si>
  <si>
    <t>SELECT BENCHMARK(5000000, SHA1('x'));</t>
  </si>
  <si>
    <t>dangerous_function: BENCHMARK — Forces expensive repeated computation — a denial-of-service vector.</t>
  </si>
  <si>
    <t>dangerfn-05</t>
  </si>
  <si>
    <t>SELECT SLEEP(5) FROM orders WHERE id = 2;</t>
  </si>
  <si>
    <t>dangerfn-06</t>
  </si>
  <si>
    <t>SELECT LOAD_FILE('/etc/shadow');</t>
  </si>
  <si>
    <t>dangerfn-07</t>
  </si>
  <si>
    <t>SELECT * FROM invoices INTO OUTFILE '/tmp/invoices.csv';</t>
  </si>
  <si>
    <t>dangerfn-08</t>
  </si>
  <si>
    <t>SELECT GET_LOCK('lockname', 10);</t>
  </si>
  <si>
    <t>dangerous_function: GET_LOCK — Acquires a named lock, which can stall other database connections.</t>
  </si>
  <si>
    <t>dangerfn-09</t>
  </si>
  <si>
    <t>SELECT RELEASE_LOCK('lockname');</t>
  </si>
  <si>
    <t>dangerous_function: RELEASE_LOCK — Releases a named lock; paired with GET_LOCK-based abuse.</t>
  </si>
  <si>
    <t>dangerfn-10</t>
  </si>
  <si>
    <t>SELECT BENCHMARK(10000000, MD5('y'));</t>
  </si>
  <si>
    <t>dangerfn-01-safe</t>
  </si>
  <si>
    <t>SELECT id FROM users WHERE id = 1;</t>
  </si>
  <si>
    <t>dangerfn-02-safe</t>
  </si>
  <si>
    <t>dangerfn-03-safe</t>
  </si>
  <si>
    <t>SELECT id FROM orders WHERE id = 2;</t>
  </si>
  <si>
    <t>dangerfn-04-safe</t>
  </si>
  <si>
    <t>SELECT id FROM invoices WHERE id = 1;</t>
  </si>
  <si>
    <t>dangerfn-05-safe</t>
  </si>
  <si>
    <t>SELECT COUNT(*) FROM users;</t>
  </si>
  <si>
    <t>dangerfn-06-safe</t>
  </si>
  <si>
    <t>SELECT name FROM users WHERE id = 1;</t>
  </si>
  <si>
    <t>dumpfile-01</t>
  </si>
  <si>
    <t>SELECT * FROM tenants INTO DUMPFILE '/tmp/tenants.bin';</t>
  </si>
  <si>
    <t>dangerous_function: INTO DUMPFILE — Writes a single row/blob to a file on the server's filesystem (structural clause, also checked directly).</t>
  </si>
  <si>
    <t>First pass blocked this only because the parser failed. Now recognised as INTO DUMPFILE.</t>
  </si>
  <si>
    <t>dumpfile-02</t>
  </si>
  <si>
    <t>SELECT * FROM support_tickets INTO DUMPFILE '/tmp/support_tickets.bin';</t>
  </si>
  <si>
    <t>dumpfile-03</t>
  </si>
  <si>
    <t>SELECT * FROM finance_records INTO DUMPFILE '/tmp/finance_records.bin';</t>
  </si>
  <si>
    <t>grant-01</t>
  </si>
  <si>
    <t>GRANT ALL PRIVILEGES ON db.* TO 'attacker'@'%';</t>
  </si>
  <si>
    <t>blocked_statement_type: GRANT</t>
  </si>
  <si>
    <t>grant-02</t>
  </si>
  <si>
    <t>GRANT SELECT, INSERT ON sales_db.* TO 'newuser'@'localhost';</t>
  </si>
  <si>
    <t>replace-01</t>
  </si>
  <si>
    <t>REPLACE INTO users (id, name) VALUES (1, 'hijacked');</t>
  </si>
  <si>
    <t>blocked_statement_type: REPLACE</t>
  </si>
  <si>
    <t>replace-02</t>
  </si>
  <si>
    <t>REPLACE INTO accounts (id, balance) VALUES (7, 999999);</t>
  </si>
  <si>
    <t>revoke-01</t>
  </si>
  <si>
    <t>REVOKE SELECT ON db.* FROM 'analyst'@'%';</t>
  </si>
  <si>
    <t>blocked_statement_type: REVOKE</t>
  </si>
  <si>
    <t>sysfn-01</t>
  </si>
  <si>
    <t>SELECT USER();</t>
  </si>
  <si>
    <t>dangerous_function: USER — Reveals the connected database user — used for reconnaissance/fingerprinting.</t>
  </si>
  <si>
    <t>sysfn-02</t>
  </si>
  <si>
    <t>SELECT CURRENT_USER();</t>
  </si>
  <si>
    <t>dangerous_function: CURRENT_USER — Reveals the effective database user and host — used for reconnaissance.</t>
  </si>
  <si>
    <t>sysfn-03</t>
  </si>
  <si>
    <t>SELECT VERSION();</t>
  </si>
  <si>
    <t>dangerous_function: VERSION — Reveals the database server version — used to target version-specific exploits.</t>
  </si>
  <si>
    <t>First pass used sqlglot internal names (CURRENT_VERSION); Node version reports VERSION.</t>
  </si>
  <si>
    <t>sysfn-04</t>
  </si>
  <si>
    <t>SELECT DATABASE();</t>
  </si>
  <si>
    <t>dangerous_function: DATABASE — Reveals the name of the current database — used for reconnaissance.</t>
  </si>
  <si>
    <t>First pass used sqlglot internal names (CURRENT_SCHEMA); Node version reports DATABASE.</t>
  </si>
  <si>
    <t>sysfn-05</t>
  </si>
  <si>
    <t>SELECT * FROM users WHERE id = 1 AND USER() = 'root@localhost';</t>
  </si>
  <si>
    <t>sysfn-01-safe</t>
  </si>
  <si>
    <t>sysfn-02-safe</t>
  </si>
  <si>
    <t>SELECT email FROM customers WHERE id = 1;</t>
  </si>
  <si>
    <t>nested-union-01</t>
  </si>
  <si>
    <t>SELECT * FROM (SELECT name, email FROM customers UNION SELECT username, password FROM admin_users) x;</t>
  </si>
  <si>
    <t>nested-union-01-safe</t>
  </si>
  <si>
    <t>SELECT * FROM (SELECT name, email FROM customers WHERE tenant_id = 1) x;</t>
  </si>
  <si>
    <t>nested-union-02</t>
  </si>
  <si>
    <t>SELECT * FROM (SELECT name, email FROM orders UNION SELECT username, password FROM admin_users) x;</t>
  </si>
  <si>
    <t>nested-union-02-safe</t>
  </si>
  <si>
    <t>SELECT * FROM (SELECT name, email FROM orders WHERE tenant_id = 1) x;</t>
  </si>
  <si>
    <t>nested-union-03</t>
  </si>
  <si>
    <t>SELECT * FROM (SELECT name, email FROM invoices UNION SELECT username, password FROM admin_users) x;</t>
  </si>
  <si>
    <t>nested-union-03-safe</t>
  </si>
  <si>
    <t>SELECT * FROM (SELECT name, email FROM invoices WHERE tenant_id = 1) x;</t>
  </si>
  <si>
    <t>nested-union-04</t>
  </si>
  <si>
    <t>SELECT * FROM (SELECT name, email FROM employees UNION SELECT username, password FROM admin_users) x;</t>
  </si>
  <si>
    <t>nested-union-04-safe</t>
  </si>
  <si>
    <t>SELECT * FROM (SELECT name, email FROM employees WHERE tenant_id = 1) x;</t>
  </si>
  <si>
    <t>nested-dangerfn-01</t>
  </si>
  <si>
    <t>SELECT * FROM customers WHERE id IN (SELECT id FROM customers WHERE SLEEP(5));</t>
  </si>
  <si>
    <t>nested-dangerfn-01-safe</t>
  </si>
  <si>
    <t>SELECT * FROM customers WHERE id IN (SELECT id FROM customers WHERE status = 'active');</t>
  </si>
  <si>
    <t>nested-dangerfn-02</t>
  </si>
  <si>
    <t>SELECT * FROM orders WHERE id IN (SELECT id FROM orders WHERE SLEEP(5));</t>
  </si>
  <si>
    <t>nested-dangerfn-02-safe</t>
  </si>
  <si>
    <t>SELECT * FROM orders WHERE id IN (SELECT id FROM orders WHERE status = 'active');</t>
  </si>
  <si>
    <t>nested-dangerfn-03</t>
  </si>
  <si>
    <t>SELECT * FROM invoices WHERE id IN (SELECT id FROM invoices WHERE SLEEP(5));</t>
  </si>
  <si>
    <t>nested-dangerfn-03-safe</t>
  </si>
  <si>
    <t>SELECT * FROM invoices WHERE id IN (SELECT id FROM invoices WHERE status = 'active');</t>
  </si>
  <si>
    <t>nested-dangerfn-04</t>
  </si>
  <si>
    <t>SELECT * FROM employees WHERE id IN (SELECT id FROM employees WHERE SLEEP(5));</t>
  </si>
  <si>
    <t>nested-dangerfn-04-safe</t>
  </si>
  <si>
    <t>SELECT * FROM employees WHERE id IN (SELECT id FROM employees WHERE status = 'active');</t>
  </si>
  <si>
    <t>deepnest-01</t>
  </si>
  <si>
    <t>SELECT id FROM t0 WHERE id IN (SELECT id FROM t1 WHERE id IN (SELECT id FROM t2 WHERE id IN (SELECT id FROM t3 WHERE id IN (SELECT id FROM t4 WHERE id IN (SELECT id FROM t5 WHERE id IN (SELECT id FROM t6 WHERE id IN (SELECT id FROM t7)))))));</t>
  </si>
  <si>
    <t>excessive_subquery_depth: Nested 7 levels deep (max allowed: 6)</t>
  </si>
  <si>
    <t>deepnest-02</t>
  </si>
  <si>
    <t>SELECT id FROM t0 WHERE id IN (SELECT id FROM t1 WHERE id IN (SELECT id FROM t2 WHERE id IN (SELECT id FROM t3 WHERE id IN (SELECT id FROM t4 WHERE id IN (SELECT id FROM t5 WHERE id IN (SELECT id FROM t6 WHERE id IN (SELECT id FROM t7 WHERE id IN (SELECT id FROM t8 WHERE id IN (SELECT id FROM t9)))))))));</t>
  </si>
  <si>
    <t>too_many_tables, excessive_subquery_depth</t>
  </si>
  <si>
    <t>too_many_tables: 10 table references (max allowed: 8), excessive_subquery_depth: Nested 9 levels deep (max allowed: 6)</t>
  </si>
  <si>
    <t>Now also flagged by the new too_many_tables rule (10 tables).</t>
  </si>
  <si>
    <t>deepnest-01-safe</t>
  </si>
  <si>
    <t>SELECT id FROM t0 WHERE id IN (SELECT id FROM t1 WHERE id IN (SELECT id FROM t2 WHERE id IN (SELECT id FROM t3)));</t>
  </si>
  <si>
    <t>deepnest-02-safe</t>
  </si>
  <si>
    <t>SELECT id FROM t0 WHERE id IN (SELECT id FROM t1 WHERE id IN (SELECT id FROM t2));</t>
  </si>
  <si>
    <t>benign-01</t>
  </si>
  <si>
    <t>SELECT o.id, o.total, c.name FROM orders o JOIN customers c ON o.customer_id = c.id WHERE o.tenant_id = 1;</t>
  </si>
  <si>
    <t>benign-02</t>
  </si>
  <si>
    <t>SELECT department, SUM(expense) FROM finance_records WHERE tenant_id = 1 AND quarter = 'Q2' GROUP BY department;</t>
  </si>
  <si>
    <t>benign-03</t>
  </si>
  <si>
    <t>SELECT product_name, SUM(quantity) FROM sales_transactions WHERE tenant_id = 1 GROUP BY product_name ORDER BY SUM(quantity) DESC;</t>
  </si>
  <si>
    <t>benign-04</t>
  </si>
  <si>
    <t>SELECT e.name, d.department_name FROM employees e JOIN departments d ON e.department_id = d.id WHERE e.tenant_id = 1;</t>
  </si>
  <si>
    <t>benign-05</t>
  </si>
  <si>
    <t>SELECT AVG(price) FROM products WHERE tenant_id = 1 AND category = 'electronics';</t>
  </si>
  <si>
    <t>benign-06</t>
  </si>
  <si>
    <t>SELECT customer_id, COUNT(*) AS order_count FROM orders WHERE tenant_id = 1 GROUP BY customer_id HAVING COUNT(*) &gt; 5;</t>
  </si>
  <si>
    <t>benign-07</t>
  </si>
  <si>
    <t>SELECT * FROM invoices WHERE tenant_id = 1 AND due_date &lt; '2026-09-01' ORDER BY due_date;</t>
  </si>
  <si>
    <t>benign-08</t>
  </si>
  <si>
    <t>SELECT v.name, SUM(c.amount) FROM contracts c JOIN vendors v ON c.vendor_id = v.id WHERE c.tenant_id = 1 GROUP BY v.name;</t>
  </si>
  <si>
    <t>benign-09</t>
  </si>
  <si>
    <t>SELECT status, COUNT(*) FROM tickets WHERE tenant_id = 1 GROUP BY status;</t>
  </si>
  <si>
    <t>benign-10</t>
  </si>
  <si>
    <t>SELECT * FROM leave_requests WHERE tenant_id = 1 AND status = 'pending';</t>
  </si>
  <si>
    <t>benign-11</t>
  </si>
  <si>
    <t>SELECT department, AVG(salary) FROM hr_records WHERE tenant_id = 1 GROUP BY department;</t>
  </si>
  <si>
    <t>benign-12</t>
  </si>
  <si>
    <t>SELECT s.id, s.status FROM shipments s WHERE s.tenant_id = 1 AND s.status != 'delivered';</t>
  </si>
  <si>
    <t>benign-13</t>
  </si>
  <si>
    <t>SELECT * FROM subscriptions WHERE tenant_id = 1 AND renewal_date BETWEEN '2026-08-01' AND '2026-09-01';</t>
  </si>
  <si>
    <t>benign-14</t>
  </si>
  <si>
    <t>SELECT p.name, i.quantity FROM inventory i JOIN products p ON i.product_id = p.id WHERE i.tenant_id = 1 AND i.quantity &lt; 10;</t>
  </si>
  <si>
    <t>benign-15</t>
  </si>
  <si>
    <t>SELECT customer_id FROM orders WHERE tenant_id = 1 GROUP BY customer_id HAVING SUM(total) &gt; 10000;</t>
  </si>
  <si>
    <t>benign-16</t>
  </si>
  <si>
    <t>SELECT * FROM payments WHERE tenant_id = 1 AND method = 'credit_card' ORDER BY created_at DESC LIMIT 20;</t>
  </si>
  <si>
    <t>benign-17</t>
  </si>
  <si>
    <t>SELECT vendor_id, COUNT(*) FROM contracts WHERE tenant_id = 1 AND status = 'active' GROUP BY vendor_id;</t>
  </si>
  <si>
    <t>benign-18</t>
  </si>
  <si>
    <t>SELECT DATE(created_at) AS day, COUNT(*) FROM support_tickets WHERE tenant_id = 1 GROUP BY DATE(created_at);</t>
  </si>
  <si>
    <t>benign-19</t>
  </si>
  <si>
    <t>SELECT * FROM audit_logs WHERE tenant_id = 1 AND action = 'login_failed' ORDER BY created_at DESC;</t>
  </si>
  <si>
    <t>benign-20</t>
  </si>
  <si>
    <t>SELECT expense_type, SUM(amount) FROM expense_reports WHERE tenant_id = 1 AND status = 'approved' GROUP BY expense_type;</t>
  </si>
  <si>
    <t>benign-21</t>
  </si>
  <si>
    <t>SELECT c.name FROM customers c WHERE c.tenant_id = 1 AND c.id IN (SELECT customer_id FROM orders WHERE total &gt; 5000);</t>
  </si>
  <si>
    <t>benign-22</t>
  </si>
  <si>
    <t>SELECT * FROM sessions WHERE tenant_id = 1 AND expires_at &gt; NOW();</t>
  </si>
  <si>
    <t>benign-23</t>
  </si>
  <si>
    <t>SELECT product_name, price FROM products WHERE tenant_id = 1 AND price BETWEEN 10 AND 100 ORDER BY price;</t>
  </si>
  <si>
    <t>benignwrite-01</t>
  </si>
  <si>
    <t>INSERT INTO support_tickets (tenant_id, subject, body) VALUES (1, 'Login issue', 'Cannot log in.');</t>
  </si>
  <si>
    <t>benignwrite-02</t>
  </si>
  <si>
    <t>INSERT INTO leave_requests (tenant_id, employee_id, start_date) VALUES (1, 42, '2026-09-01');</t>
  </si>
  <si>
    <t>benignwrite-03</t>
  </si>
  <si>
    <t>INSERT INTO expense_reports (tenant_id, employee_id, amount) VALUES (1, 7, 250.00);</t>
  </si>
  <si>
    <t>benignwrite-04</t>
  </si>
  <si>
    <t>UPDATE tickets SET status = 'resolved' WHERE id = 9 AND tenant_id = 1;</t>
  </si>
  <si>
    <t>benignwrite-05</t>
  </si>
  <si>
    <t>UPDATE subscriptions SET renewal_date = '2026-10-01' WHERE id = 3 AND tenant_id = 1;</t>
  </si>
  <si>
    <t>benignwrite-06</t>
  </si>
  <si>
    <t>DELETE FROM sessions WHERE id = 15 AND tenant_id = 1;</t>
  </si>
  <si>
    <t>sysschema-01</t>
  </si>
  <si>
    <t>system_schema_access: information_schema.tables — MySQL system schemas are never queryable</t>
  </si>
  <si>
    <t>(new)</t>
  </si>
  <si>
    <t>New rule (tuning)</t>
  </si>
  <si>
    <t>sysschema-02</t>
  </si>
  <si>
    <t>SELECT table_name, column_name FROM information_schema.columns WHERE table_schema = 'svl_demo';</t>
  </si>
  <si>
    <t>system_schema_access: information_schema.columns — MySQL system schemas are never queryable</t>
  </si>
  <si>
    <t>sysschema-03</t>
  </si>
  <si>
    <t>SELECT user, authentication_string FROM mysql.user;</t>
  </si>
  <si>
    <t>system_schema_access: mysql.user — MySQL system schemas are never queryable</t>
  </si>
  <si>
    <t>sysschema-04</t>
  </si>
  <si>
    <t>SELECT * FROM performance_schema.threads;</t>
  </si>
  <si>
    <t>system_schema_access: performance_schema.threads — MySQL system schemas are never queryable</t>
  </si>
  <si>
    <t>sysschema-05</t>
  </si>
  <si>
    <t>SELECT * FROM sys.session;</t>
  </si>
  <si>
    <t>system_schema_access: sys.session — MySQL system schemas are never queryable</t>
  </si>
  <si>
    <t>sysschema-06</t>
  </si>
  <si>
    <t>SELECT id FROM orders WHERE id IN (SELECT 1 FROM information_schema.tables);</t>
  </si>
  <si>
    <t>sysschema-01-safe</t>
  </si>
  <si>
    <t>SELECT id, product, amount FROM orders WHERE tenant_id = 1;</t>
  </si>
  <si>
    <t>sysvar-01</t>
  </si>
  <si>
    <t>system_variable: @@version — exposes server configuration (fingerprinting)</t>
  </si>
  <si>
    <t>sysvar-02</t>
  </si>
  <si>
    <t>SELECT @@hostname, @@datadir;</t>
  </si>
  <si>
    <t>system_variable: @@datadir — exposes server configuration (fingerprinting), system_variable: @@hostname — exposes server configuration (fingerprinting)</t>
  </si>
  <si>
    <t>sysvar-03</t>
  </si>
  <si>
    <t>SELECT * FROM orders WHERE @@version LIKE '8%';</t>
  </si>
  <si>
    <t>sysvar-01-safe</t>
  </si>
  <si>
    <t>SELECT id FROM orders WHERE id = 1;</t>
  </si>
  <si>
    <t>taut-adv-01</t>
  </si>
  <si>
    <t>SELECT * FROM orders WHERE id = 5 OR 1;</t>
  </si>
  <si>
    <t>taut-adv-02</t>
  </si>
  <si>
    <t>taut-adv-03</t>
  </si>
  <si>
    <t>SELECT * FROM orders WHERE id = 5 OR id = id;</t>
  </si>
  <si>
    <t>taut-adv-04</t>
  </si>
  <si>
    <t>SELECT * FROM orders WHERE id = 5 OR TRUE;</t>
  </si>
  <si>
    <t>taut-adv-05</t>
  </si>
  <si>
    <t>SELECT * FROM orders WHERE id = 5 OR NOT 0;</t>
  </si>
  <si>
    <t>taut-adv-06</t>
  </si>
  <si>
    <t>SELECT * FROM orders WHERE id = 5 OR 'a' LIKE '%';</t>
  </si>
  <si>
    <t>taut-adv-07</t>
  </si>
  <si>
    <t>SELECT * FROM orders WHERE id = 5 OR 1 IN (1, 2);</t>
  </si>
  <si>
    <t>taut-adv-08</t>
  </si>
  <si>
    <t>SELECT * FROM orders WHERE id = 5 OR 3 - 2 = 1;</t>
  </si>
  <si>
    <t>taut-adv-09</t>
  </si>
  <si>
    <t>SELECT * FROM orders WHERE 1;</t>
  </si>
  <si>
    <t>taut-adv-10</t>
  </si>
  <si>
    <t>SELECT * FROM orders o JOIN customers c ON o.customer_id = c.id OR 1 = 1;</t>
  </si>
  <si>
    <t>taut-adv-11</t>
  </si>
  <si>
    <t>SELECT customer_id, COUNT(*) FROM orders GROUP BY customer_id HAVING COUNT(*) &gt; 5 OR 1 = 1;</t>
  </si>
  <si>
    <t>taut-adv-12</t>
  </si>
  <si>
    <t>SELECT * FROM orders WHERE id IN (SELECT id FROM orders WHERE id = 1 OR 1 = 1);</t>
  </si>
  <si>
    <t>taut-adv-01-safe</t>
  </si>
  <si>
    <t>Behaviour change: WHERE 1=1 AND ... is allowed because the AND still filters.</t>
  </si>
  <si>
    <t>taut-adv-02-safe</t>
  </si>
  <si>
    <t>SELECT * FROM orders WHERE amount &gt; 100 OR 0;</t>
  </si>
  <si>
    <t>taut-adv-03-safe</t>
  </si>
  <si>
    <t>SELECT * FROM orders WHERE status = 'paid' OR status = 'pending';</t>
  </si>
  <si>
    <t>taut-adv-04-safe</t>
  </si>
  <si>
    <t>SELECT * FROM orders WHERE amount &gt; 100 OR amount &lt; 10;</t>
  </si>
  <si>
    <t>errfn-01</t>
  </si>
  <si>
    <t>SELECT EXTRACTVALUE(1, CONCAT(0x7e, (SELECT name FROM customers LIMIT 1)));</t>
  </si>
  <si>
    <t>dangerous_function: EXTRACTVALUE — XML function abused for error-based injection — a malformed XPath echoes query results inside the error message.</t>
  </si>
  <si>
    <t>errfn-02</t>
  </si>
  <si>
    <t>SELECT UPDATEXML(1, CONCAT(0x7e, VERSION()), 1);</t>
  </si>
  <si>
    <t>dangerous_function: UPDATEXML — XML function abused for error-based injection — a malformed XPath echoes query results inside the error message., dangerous_function: VERSION — Reveals the database server version — used to target version-specific exploits.</t>
  </si>
  <si>
    <t>errfn-03</t>
  </si>
  <si>
    <t>SELECT * FROM (SELECT NAME_CONST('a', 1), NAME_CONST('a', 1)) x;</t>
  </si>
  <si>
    <t>dangerous_function: NAME_CONST — Used in error-based injection to force duplicate-column errors that leak values.</t>
  </si>
  <si>
    <t>errfn-04</t>
  </si>
  <si>
    <t>SELECT SYS_EXEC('rm -rf /');</t>
  </si>
  <si>
    <t>dangerous_function: SYS_EXEC — Common malicious user-defined function (lib_mysqludf_sys) that runs operating-system commands.</t>
  </si>
  <si>
    <t>errfn-05</t>
  </si>
  <si>
    <t>SELECT SYS_EVAL('whoami');</t>
  </si>
  <si>
    <t>dangerous_function: SYS_EVAL — Common malicious user-defined function (lib_mysqludf_sys) that runs OS commands and returns their output.</t>
  </si>
  <si>
    <t>errfn-06</t>
  </si>
  <si>
    <t>SELECT CONNECTION_ID();</t>
  </si>
  <si>
    <t>dangerous_function: CONNECTION_ID — Reveals the server connection/thread id — used for reconnaissance.</t>
  </si>
  <si>
    <t>errfn-01-safe</t>
  </si>
  <si>
    <t>SELECT CONCAT(product, ' - ', status) AS label FROM orders;</t>
  </si>
  <si>
    <t>lock-01</t>
  </si>
  <si>
    <t>locking_read: FOR UPDATE — a read query must not take row locks</t>
  </si>
  <si>
    <t>lock-02</t>
  </si>
  <si>
    <t>SELECT * FROM orders LOCK IN SHARE MODE;</t>
  </si>
  <si>
    <t>locking_read: LOCK IN SHARE MODE — a read query must not take row locks</t>
  </si>
  <si>
    <t>lock-03</t>
  </si>
  <si>
    <t>SELECT * FROM orders WHERE id IN (SELECT id FROM orders FOR UPDATE);</t>
  </si>
  <si>
    <t>lock-01-safe</t>
  </si>
  <si>
    <t>limit-01</t>
  </si>
  <si>
    <t>excessive_limit: LIMIT 100000000 (max allowed: 10000)</t>
  </si>
  <si>
    <t>limit-02</t>
  </si>
  <si>
    <t>SELECT * FROM orders LIMIT 0, 50000;</t>
  </si>
  <si>
    <t>excessive_limit: LIMIT 50000 (max allowed: 10000)</t>
  </si>
  <si>
    <t>tables-01</t>
  </si>
  <si>
    <t>SELECT a.id FROM orders a, orders b, orders c, orders d, orders e, orders f, orders g, orders h, orders i;</t>
  </si>
  <si>
    <t>too_many_tables: 9 table references (max allowed: 8)</t>
  </si>
  <si>
    <t>limit-01-safe</t>
  </si>
  <si>
    <t>limit-02-safe</t>
  </si>
  <si>
    <t>SELECT * FROM orders LIMIT 20 OFFSET 500000;</t>
  </si>
  <si>
    <t>tables-01-safe</t>
  </si>
  <si>
    <t>SELECT a.id FROM orders a, orders b, orders c, orders d, orders e, orders f, orders g, orders h;</t>
  </si>
  <si>
    <t>comment-adv-01</t>
  </si>
  <si>
    <t xml:space="preserve">SELECT * FROM orders WHERE id = 1 -- </t>
  </si>
  <si>
    <t>comment-adv-02</t>
  </si>
  <si>
    <t>SELECT * FROM orders WHERE id = 1 #</t>
  </si>
  <si>
    <t>comment-adv-03</t>
  </si>
  <si>
    <t>SELECT * FROM orders /* hidden */ WHERE id = 1;</t>
  </si>
  <si>
    <t>comment-adv-04</t>
  </si>
  <si>
    <t>SELECT /*!50000 id */ FROM orders;</t>
  </si>
  <si>
    <t>parse_error: Failed to parse SQL: Expected "#", "(", "--", ".", "/*", ":=", or [ \t\n\r] but "o" found.</t>
  </si>
  <si>
    <t>comment-adv-01-safe</t>
  </si>
  <si>
    <t>Fixed false alarm: # inside quotes is text, not a comment.</t>
  </si>
  <si>
    <t>comment-adv-02-safe</t>
  </si>
  <si>
    <t>SELECT * FROM orders WHERE product LIKE 'a--b';</t>
  </si>
  <si>
    <t>comment-adv-03-safe</t>
  </si>
  <si>
    <t>SELECT * FROM orders WHERE product = 'use /* here';</t>
  </si>
  <si>
    <t>comment-adv-05</t>
  </si>
  <si>
    <t>SELECT 5--3;</t>
  </si>
  <si>
    <t>The parser reads --3 as a comment, so it is refused to keep the validator and MySQL consistent.</t>
  </si>
  <si>
    <t>allow-01</t>
  </si>
  <si>
    <t>column_not_allowed: customers.password_hash is not in the schema allowlist</t>
  </si>
  <si>
    <t>allow-02</t>
  </si>
  <si>
    <t>column_not_allowed: SELECT * is not allowed on customers (restricted columns) — list the columns explicitly</t>
  </si>
  <si>
    <t>allow-03</t>
  </si>
  <si>
    <t>SELECT c.* FROM customers c;</t>
  </si>
  <si>
    <t>allow-04</t>
  </si>
  <si>
    <t>table_not_allowed: payroll_salaries is not in the schema allowlist</t>
  </si>
  <si>
    <t>allow-05</t>
  </si>
  <si>
    <t>SELECT id FROM customers WHERE id IN (SELECT password_hash FROM customers);</t>
  </si>
  <si>
    <t>allow-06</t>
  </si>
  <si>
    <t>UPDATE customers SET password_hash = 'x' WHERE id = 1;</t>
  </si>
  <si>
    <t>allow-07</t>
  </si>
  <si>
    <t>INSERT INTO customers VALUES (9, 1, 'X', 'x@y.com', '0771234567', 'Galle', 'h');</t>
  </si>
  <si>
    <t>allow-01-safe</t>
  </si>
  <si>
    <t>SELECT id, name, email, phone, city FROM customers WHERE tenant_id = 1;</t>
  </si>
  <si>
    <t>allow-02-safe</t>
  </si>
  <si>
    <t>SELECT * FROM orders WHERE tenant_id = 1;</t>
  </si>
  <si>
    <t>allow-03-safe</t>
  </si>
  <si>
    <t>SELECT c.name, c.email, COUNT(*) AS n FROM customers c JOIN orders o ON o.customer_id = c.id WHERE c.tenant_id = 1 GROUP BY c.name, c.email;</t>
  </si>
  <si>
    <t>allow-04-safe</t>
  </si>
  <si>
    <t>WITH t AS (SELECT id, amount FROM orders) SELECT id FROM t WHERE amount &gt; 10;</t>
  </si>
  <si>
    <t>allow-05-safe</t>
  </si>
  <si>
    <t>SELECT x FROM (SELECT id AS x FROM customers) d;</t>
  </si>
  <si>
    <t>allow-06-safe</t>
  </si>
  <si>
    <t>UPDATE customers SET city = 'Matara' WHERE id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</si>
</sst>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0"/>
      <color rgb="FFFFFFFF"/>
      <name val="Arial"/>
    </font>
    <font>
      <sz val="10"/>
      <name val="Arial"/>
    </font>
    <font>
      <sz val="9.5"/>
      <name val="Consolas"/>
    </font>
    <font>
      <b/>
      <sz val="16"/>
      <color rgb="FF1F2A5C"/>
      <name val="Arial"/>
    </font>
    <font>
      <i/>
      <sz val="10"/>
      <color rgb="FF555555"/>
      <name val="Arial"/>
    </font>
    <font>
      <b/>
      <sz val="10"/>
      <name val="Arial"/>
    </font>
    <font>
      <b/>
      <sz val="12"/>
      <color rgb="FF1F2A5C"/>
      <name val="Arial"/>
    </font>
  </fonts>
  <fills count="7">
    <fill>
      <patternFill patternType="none"/>
    </fill>
    <fill>
      <patternFill patternType="gray125"/>
    </fill>
    <fill>
      <patternFill patternType="solid">
        <fgColor rgb="FF1F2A5C"/>
      </patternFill>
    </fill>
    <fill>
      <patternFill patternType="solid">
        <fgColor rgb="FFFFF4D6"/>
      </patternFill>
    </fill>
    <fill>
      <patternFill patternType="solid">
        <fgColor rgb="FFE8EBF4"/>
      </patternFill>
    </fill>
    <fill>
      <patternFill patternType="solid">
        <fgColor rgb="FFFDECEB"/>
      </patternFill>
    </fill>
    <fill>
      <patternFill patternType="solid">
        <fgColor rgb="FFE6F4EC"/>
      </patternFill>
    </fill>
  </fills>
  <borders count="2">
    <border>
      <left/>
      <right/>
      <top/>
      <bottom/>
      <diagonal/>
    </border>
    <border>
      <left style="thin">
        <color rgb="FFC9CED8"/>
      </left>
      <right style="thin">
        <color rgb="FFC9CED8"/>
      </right>
      <top style="thin">
        <color rgb="FFC9CED8"/>
      </top>
      <bottom style="thin">
        <color rgb="FFC9CED8"/>
      </bottom>
      <diagonal/>
    </border>
  </borders>
  <cellStyleXfs count="1">
    <xf numFmtId="0" fontId="0" fillId="0" borderId="0"/>
  </cellStyleXfs>
  <cellXfs count="20">
    <xf numFmtId="0" fontId="0" fillId="0" borderId="0" xfId="0"/>
    <xf numFmtId="0" fontId="4" fillId="0" borderId="0" xfId="0" applyFont="1"/>
    <xf numFmtId="0" fontId="5" fillId="0" borderId="0" xfId="0" applyFont="1"/>
    <xf numFmtId="0" fontId="2" fillId="4" borderId="1" xfId="0" applyFont="1" applyFill="1" applyBorder="1"/>
    <xf numFmtId="0" fontId="6" fillId="0" borderId="1" xfId="0" applyFont="1" applyBorder="1"/>
    <xf numFmtId="164" fontId="6" fillId="0" borderId="1" xfId="0" applyNumberFormat="1" applyFont="1" applyBorder="1"/>
    <xf numFmtId="0" fontId="7" fillId="0" borderId="0" xfId="0" applyFont="1"/>
    <xf numFmtId="0" fontId="1" fillId="2" borderId="1" xfId="0" applyFont="1" applyFill="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9" fontId="2" fillId="0" borderId="1" xfId="0" applyNumberFormat="1" applyFont="1" applyBorder="1" applyAlignment="1">
      <alignment horizontal="center" vertical="top"/>
    </xf>
    <xf numFmtId="0" fontId="2" fillId="3" borderId="1" xfId="0" applyFont="1" applyFill="1" applyBorder="1" applyAlignment="1">
      <alignment vertical="top" wrapText="1"/>
    </xf>
    <xf numFmtId="0" fontId="6" fillId="0" borderId="0" xfId="0" applyFont="1" applyAlignment="1">
      <alignment vertical="top" wrapText="1"/>
    </xf>
    <xf numFmtId="0" fontId="1" fillId="2" borderId="1" xfId="0" applyFont="1" applyFill="1" applyBorder="1"/>
    <xf numFmtId="0" fontId="6" fillId="0" borderId="1" xfId="0" applyFont="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0" borderId="1" xfId="0" applyFont="1" applyBorder="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6">
    <dxf>
      <font>
        <b/>
        <color rgb="FF17794A"/>
        <name val="Arial"/>
      </font>
      <fill>
        <patternFill patternType="solid">
          <fgColor rgb="FFE6F4EC"/>
        </patternFill>
      </fill>
    </dxf>
    <dxf>
      <font>
        <b/>
        <color rgb="FFB3261E"/>
        <name val="Arial"/>
      </font>
      <fill>
        <patternFill patternType="solid">
          <fgColor rgb="FFFDECEB"/>
        </patternFill>
      </fill>
    </dxf>
    <dxf>
      <font>
        <b/>
        <color rgb="FFFFFFFF"/>
        <name val="Arial"/>
      </font>
      <fill>
        <patternFill patternType="solid">
          <fgColor rgb="FFB3261E"/>
        </patternFill>
      </fill>
    </dxf>
    <dxf>
      <font>
        <b/>
        <color rgb="FF17794A"/>
        <name val="Arial"/>
      </font>
    </dxf>
    <dxf>
      <font>
        <b/>
        <color rgb="FF17794A"/>
        <name val="Arial"/>
      </font>
      <fill>
        <patternFill patternType="solid">
          <fgColor rgb="FFE6F4EC"/>
        </patternFill>
      </fill>
    </dxf>
    <dxf>
      <font>
        <b/>
        <color rgb="FFB3261E"/>
        <name val="Arial"/>
      </font>
      <fill>
        <patternFill patternType="solid">
          <fgColor rgb="FFFDECE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pane ySplit="3" topLeftCell="A4" activePane="bottomLeft" state="frozen"/>
      <selection pane="bottomLeft"/>
    </sheetView>
  </sheetViews>
  <sheetFormatPr defaultRowHeight="14.4" x14ac:dyDescent="0.3"/>
  <cols>
    <col min="1" max="1" width="34" customWidth="1"/>
    <col min="2" max="2" width="30" customWidth="1"/>
    <col min="3" max="3" width="52" customWidth="1"/>
    <col min="4" max="4" width="8" customWidth="1"/>
    <col min="5" max="6" width="11" customWidth="1"/>
    <col min="7" max="7" width="9" customWidth="1"/>
    <col min="8" max="8" width="10" customWidth="1"/>
  </cols>
  <sheetData>
    <row r="1" spans="1:8" ht="21" x14ac:dyDescent="0.4">
      <c r="A1" s="1" t="s">
        <v>0</v>
      </c>
    </row>
    <row r="2" spans="1:8" x14ac:dyDescent="0.3">
      <c r="A2" s="2" t="s">
        <v>1</v>
      </c>
    </row>
    <row r="4" spans="1:8" x14ac:dyDescent="0.3">
      <c r="A4" s="3" t="s">
        <v>2</v>
      </c>
      <c r="B4" s="4">
        <f>COUNTA('All Tests'!$A$2:$A$301)</f>
        <v>300</v>
      </c>
    </row>
    <row r="5" spans="1:8" x14ac:dyDescent="0.3">
      <c r="A5" s="3" t="s">
        <v>3</v>
      </c>
      <c r="B5" s="4">
        <f>COUNTIF('All Tests'!$F$2:$F$301,"BLOCKED")</f>
        <v>162</v>
      </c>
    </row>
    <row r="6" spans="1:8" x14ac:dyDescent="0.3">
      <c r="A6" s="3" t="s">
        <v>4</v>
      </c>
      <c r="B6" s="4">
        <f>COUNTIF('All Tests'!$F$2:$F$301,"SAFE")</f>
        <v>138</v>
      </c>
    </row>
    <row r="7" spans="1:8" x14ac:dyDescent="0.3">
      <c r="A7" s="3" t="s">
        <v>5</v>
      </c>
      <c r="B7" s="4">
        <f>COUNTIF('All Tests'!$H$2:$H$301,"PASS")</f>
        <v>300</v>
      </c>
    </row>
    <row r="8" spans="1:8" x14ac:dyDescent="0.3">
      <c r="A8" s="3" t="s">
        <v>6</v>
      </c>
      <c r="B8" s="4">
        <f>COUNTIF('All Tests'!$H$2:$H$301,"FAIL")</f>
        <v>0</v>
      </c>
    </row>
    <row r="9" spans="1:8" x14ac:dyDescent="0.3">
      <c r="A9" s="3" t="s">
        <v>7</v>
      </c>
      <c r="B9" s="5">
        <f>IF(B4=0,0,B7/B4)</f>
        <v>1</v>
      </c>
    </row>
    <row r="10" spans="1:8" x14ac:dyDescent="0.3">
      <c r="A10" s="3" t="s">
        <v>8</v>
      </c>
      <c r="B10" s="5">
        <f>IF(B5=0,0,COUNTIFS('All Tests'!$F$2:$F$301,"BLOCKED",'All Tests'!$G$2:$G$301,"BLOCKED")/B5)</f>
        <v>1</v>
      </c>
    </row>
    <row r="11" spans="1:8" x14ac:dyDescent="0.3">
      <c r="A11" s="3" t="s">
        <v>9</v>
      </c>
      <c r="B11" s="5">
        <f>IF(B6=0,0,COUNTIFS('All Tests'!$F$2:$F$301,"SAFE",'All Tests'!$G$2:$G$301,"BLOCKED")/B6)</f>
        <v>0</v>
      </c>
    </row>
    <row r="12" spans="1:8" x14ac:dyDescent="0.3">
      <c r="A12" s="3" t="s">
        <v>10</v>
      </c>
      <c r="B12" s="4">
        <f>COUNTIF('All Tests'!$M$2:$M$301,"First test pass (23 Sep)")</f>
        <v>235</v>
      </c>
    </row>
    <row r="13" spans="1:8" x14ac:dyDescent="0.3">
      <c r="A13" s="3" t="s">
        <v>11</v>
      </c>
      <c r="B13" s="4">
        <f>COUNTIF('All Tests'!$M$2:$M$301,"New rule (tuning)")</f>
        <v>65</v>
      </c>
    </row>
    <row r="15" spans="1:8" ht="15.6" x14ac:dyDescent="0.3">
      <c r="A15" s="6" t="s">
        <v>12</v>
      </c>
    </row>
    <row r="16" spans="1:8" ht="26.4" x14ac:dyDescent="0.3">
      <c r="A16" s="7" t="s">
        <v>13</v>
      </c>
      <c r="B16" s="7" t="s">
        <v>14</v>
      </c>
      <c r="C16" s="7" t="s">
        <v>15</v>
      </c>
      <c r="D16" s="7" t="s">
        <v>16</v>
      </c>
      <c r="E16" s="7" t="s">
        <v>17</v>
      </c>
      <c r="F16" s="7" t="s">
        <v>18</v>
      </c>
      <c r="G16" s="7" t="s">
        <v>5</v>
      </c>
      <c r="H16" s="7" t="s">
        <v>7</v>
      </c>
    </row>
    <row r="17" spans="1:8" x14ac:dyDescent="0.3">
      <c r="A17" s="8" t="s">
        <v>19</v>
      </c>
      <c r="B17" s="8" t="s">
        <v>20</v>
      </c>
      <c r="C17" s="8" t="s">
        <v>21</v>
      </c>
      <c r="D17" s="9">
        <f>COUNTIF('All Tests'!$B$2:$B$301,A17)</f>
        <v>16</v>
      </c>
      <c r="E17" s="9">
        <f>COUNTIFS('All Tests'!$B$2:$B$301,A17,'All Tests'!$F$2:$F$301,"BLOCKED")</f>
        <v>8</v>
      </c>
      <c r="F17" s="9">
        <f>COUNTIFS('All Tests'!$B$2:$B$301,A17,'All Tests'!$F$2:$F$301,"SAFE")</f>
        <v>8</v>
      </c>
      <c r="G17" s="9">
        <f>COUNTIFS('All Tests'!$B$2:$B$301,A17,'All Tests'!$H$2:$H$301,"PASS")</f>
        <v>16</v>
      </c>
      <c r="H17" s="10">
        <f t="shared" ref="H17:H43" si="0">IF(D17=0,0,G17/D17)</f>
        <v>1</v>
      </c>
    </row>
    <row r="18" spans="1:8" x14ac:dyDescent="0.3">
      <c r="A18" s="8" t="s">
        <v>22</v>
      </c>
      <c r="B18" s="8" t="s">
        <v>23</v>
      </c>
      <c r="C18" s="8" t="s">
        <v>24</v>
      </c>
      <c r="D18" s="9">
        <f>COUNTIF('All Tests'!$B$2:$B$301,A18)</f>
        <v>16</v>
      </c>
      <c r="E18" s="9">
        <f>COUNTIFS('All Tests'!$B$2:$B$301,A18,'All Tests'!$F$2:$F$301,"BLOCKED")</f>
        <v>8</v>
      </c>
      <c r="F18" s="9">
        <f>COUNTIFS('All Tests'!$B$2:$B$301,A18,'All Tests'!$F$2:$F$301,"SAFE")</f>
        <v>8</v>
      </c>
      <c r="G18" s="9">
        <f>COUNTIFS('All Tests'!$B$2:$B$301,A18,'All Tests'!$H$2:$H$301,"PASS")</f>
        <v>16</v>
      </c>
      <c r="H18" s="10">
        <f t="shared" si="0"/>
        <v>1</v>
      </c>
    </row>
    <row r="19" spans="1:8" x14ac:dyDescent="0.3">
      <c r="A19" s="8" t="s">
        <v>25</v>
      </c>
      <c r="B19" s="8" t="s">
        <v>20</v>
      </c>
      <c r="C19" s="8" t="s">
        <v>26</v>
      </c>
      <c r="D19" s="9">
        <f>COUNTIF('All Tests'!$B$2:$B$301,A19)</f>
        <v>12</v>
      </c>
      <c r="E19" s="9">
        <f>COUNTIFS('All Tests'!$B$2:$B$301,A19,'All Tests'!$F$2:$F$301,"BLOCKED")</f>
        <v>6</v>
      </c>
      <c r="F19" s="9">
        <f>COUNTIFS('All Tests'!$B$2:$B$301,A19,'All Tests'!$F$2:$F$301,"SAFE")</f>
        <v>6</v>
      </c>
      <c r="G19" s="9">
        <f>COUNTIFS('All Tests'!$B$2:$B$301,A19,'All Tests'!$H$2:$H$301,"PASS")</f>
        <v>12</v>
      </c>
      <c r="H19" s="10">
        <f t="shared" si="0"/>
        <v>1</v>
      </c>
    </row>
    <row r="20" spans="1:8" x14ac:dyDescent="0.3">
      <c r="A20" s="8" t="s">
        <v>27</v>
      </c>
      <c r="B20" s="8" t="s">
        <v>28</v>
      </c>
      <c r="C20" s="8" t="s">
        <v>29</v>
      </c>
      <c r="D20" s="9">
        <f>COUNTIF('All Tests'!$B$2:$B$301,A20)</f>
        <v>16</v>
      </c>
      <c r="E20" s="9">
        <f>COUNTIFS('All Tests'!$B$2:$B$301,A20,'All Tests'!$F$2:$F$301,"BLOCKED")</f>
        <v>8</v>
      </c>
      <c r="F20" s="9">
        <f>COUNTIFS('All Tests'!$B$2:$B$301,A20,'All Tests'!$F$2:$F$301,"SAFE")</f>
        <v>8</v>
      </c>
      <c r="G20" s="9">
        <f>COUNTIFS('All Tests'!$B$2:$B$301,A20,'All Tests'!$H$2:$H$301,"PASS")</f>
        <v>16</v>
      </c>
      <c r="H20" s="10">
        <f t="shared" si="0"/>
        <v>1</v>
      </c>
    </row>
    <row r="21" spans="1:8" x14ac:dyDescent="0.3">
      <c r="A21" s="8" t="s">
        <v>30</v>
      </c>
      <c r="B21" s="8" t="s">
        <v>20</v>
      </c>
      <c r="C21" s="8" t="s">
        <v>31</v>
      </c>
      <c r="D21" s="9">
        <f>COUNTIF('All Tests'!$B$2:$B$301,A21)</f>
        <v>10</v>
      </c>
      <c r="E21" s="9">
        <f>COUNTIFS('All Tests'!$B$2:$B$301,A21,'All Tests'!$F$2:$F$301,"BLOCKED")</f>
        <v>5</v>
      </c>
      <c r="F21" s="9">
        <f>COUNTIFS('All Tests'!$B$2:$B$301,A21,'All Tests'!$F$2:$F$301,"SAFE")</f>
        <v>5</v>
      </c>
      <c r="G21" s="9">
        <f>COUNTIFS('All Tests'!$B$2:$B$301,A21,'All Tests'!$H$2:$H$301,"PASS")</f>
        <v>10</v>
      </c>
      <c r="H21" s="10">
        <f t="shared" si="0"/>
        <v>1</v>
      </c>
    </row>
    <row r="22" spans="1:8" x14ac:dyDescent="0.3">
      <c r="A22" s="8" t="s">
        <v>32</v>
      </c>
      <c r="B22" s="8" t="s">
        <v>20</v>
      </c>
      <c r="C22" s="8" t="s">
        <v>33</v>
      </c>
      <c r="D22" s="9">
        <f>COUNTIF('All Tests'!$B$2:$B$301,A22)</f>
        <v>5</v>
      </c>
      <c r="E22" s="9">
        <f>COUNTIFS('All Tests'!$B$2:$B$301,A22,'All Tests'!$F$2:$F$301,"BLOCKED")</f>
        <v>5</v>
      </c>
      <c r="F22" s="9">
        <f>COUNTIFS('All Tests'!$B$2:$B$301,A22,'All Tests'!$F$2:$F$301,"SAFE")</f>
        <v>0</v>
      </c>
      <c r="G22" s="9">
        <f>COUNTIFS('All Tests'!$B$2:$B$301,A22,'All Tests'!$H$2:$H$301,"PASS")</f>
        <v>5</v>
      </c>
      <c r="H22" s="10">
        <f t="shared" si="0"/>
        <v>1</v>
      </c>
    </row>
    <row r="23" spans="1:8" x14ac:dyDescent="0.3">
      <c r="A23" s="8" t="s">
        <v>34</v>
      </c>
      <c r="B23" s="8" t="s">
        <v>35</v>
      </c>
      <c r="C23" s="8" t="s">
        <v>36</v>
      </c>
      <c r="D23" s="9">
        <f>COUNTIF('All Tests'!$B$2:$B$301,A23)</f>
        <v>8</v>
      </c>
      <c r="E23" s="9">
        <f>COUNTIFS('All Tests'!$B$2:$B$301,A23,'All Tests'!$F$2:$F$301,"BLOCKED")</f>
        <v>8</v>
      </c>
      <c r="F23" s="9">
        <f>COUNTIFS('All Tests'!$B$2:$B$301,A23,'All Tests'!$F$2:$F$301,"SAFE")</f>
        <v>0</v>
      </c>
      <c r="G23" s="9">
        <f>COUNTIFS('All Tests'!$B$2:$B$301,A23,'All Tests'!$H$2:$H$301,"PASS")</f>
        <v>8</v>
      </c>
      <c r="H23" s="10">
        <f t="shared" si="0"/>
        <v>1</v>
      </c>
    </row>
    <row r="24" spans="1:8" x14ac:dyDescent="0.3">
      <c r="A24" s="8" t="s">
        <v>37</v>
      </c>
      <c r="B24" s="8" t="s">
        <v>38</v>
      </c>
      <c r="C24" s="8" t="s">
        <v>39</v>
      </c>
      <c r="D24" s="9">
        <f>COUNTIF('All Tests'!$B$2:$B$301,A24)</f>
        <v>16</v>
      </c>
      <c r="E24" s="9">
        <f>COUNTIFS('All Tests'!$B$2:$B$301,A24,'All Tests'!$F$2:$F$301,"BLOCKED")</f>
        <v>8</v>
      </c>
      <c r="F24" s="9">
        <f>COUNTIFS('All Tests'!$B$2:$B$301,A24,'All Tests'!$F$2:$F$301,"SAFE")</f>
        <v>8</v>
      </c>
      <c r="G24" s="9">
        <f>COUNTIFS('All Tests'!$B$2:$B$301,A24,'All Tests'!$H$2:$H$301,"PASS")</f>
        <v>16</v>
      </c>
      <c r="H24" s="10">
        <f t="shared" si="0"/>
        <v>1</v>
      </c>
    </row>
    <row r="25" spans="1:8" x14ac:dyDescent="0.3">
      <c r="A25" s="8" t="s">
        <v>40</v>
      </c>
      <c r="B25" s="8" t="s">
        <v>41</v>
      </c>
      <c r="C25" s="8" t="s">
        <v>42</v>
      </c>
      <c r="D25" s="9">
        <f>COUNTIF('All Tests'!$B$2:$B$301,A25)</f>
        <v>24</v>
      </c>
      <c r="E25" s="9">
        <f>COUNTIFS('All Tests'!$B$2:$B$301,A25,'All Tests'!$F$2:$F$301,"BLOCKED")</f>
        <v>12</v>
      </c>
      <c r="F25" s="9">
        <f>COUNTIFS('All Tests'!$B$2:$B$301,A25,'All Tests'!$F$2:$F$301,"SAFE")</f>
        <v>12</v>
      </c>
      <c r="G25" s="9">
        <f>COUNTIFS('All Tests'!$B$2:$B$301,A25,'All Tests'!$H$2:$H$301,"PASS")</f>
        <v>24</v>
      </c>
      <c r="H25" s="10">
        <f t="shared" si="0"/>
        <v>1</v>
      </c>
    </row>
    <row r="26" spans="1:8" x14ac:dyDescent="0.3">
      <c r="A26" s="8" t="s">
        <v>43</v>
      </c>
      <c r="B26" s="8" t="s">
        <v>44</v>
      </c>
      <c r="C26" s="8" t="s">
        <v>45</v>
      </c>
      <c r="D26" s="9">
        <f>COUNTIF('All Tests'!$B$2:$B$301,A26)</f>
        <v>16</v>
      </c>
      <c r="E26" s="9">
        <f>COUNTIFS('All Tests'!$B$2:$B$301,A26,'All Tests'!$F$2:$F$301,"BLOCKED")</f>
        <v>8</v>
      </c>
      <c r="F26" s="9">
        <f>COUNTIFS('All Tests'!$B$2:$B$301,A26,'All Tests'!$F$2:$F$301,"SAFE")</f>
        <v>8</v>
      </c>
      <c r="G26" s="9">
        <f>COUNTIFS('All Tests'!$B$2:$B$301,A26,'All Tests'!$H$2:$H$301,"PASS")</f>
        <v>16</v>
      </c>
      <c r="H26" s="10">
        <f t="shared" si="0"/>
        <v>1</v>
      </c>
    </row>
    <row r="27" spans="1:8" x14ac:dyDescent="0.3">
      <c r="A27" s="8" t="s">
        <v>46</v>
      </c>
      <c r="B27" s="8" t="s">
        <v>47</v>
      </c>
      <c r="C27" s="8" t="s">
        <v>48</v>
      </c>
      <c r="D27" s="9">
        <f>COUNTIF('All Tests'!$B$2:$B$301,A27)</f>
        <v>16</v>
      </c>
      <c r="E27" s="9">
        <f>COUNTIFS('All Tests'!$B$2:$B$301,A27,'All Tests'!$F$2:$F$301,"BLOCKED")</f>
        <v>8</v>
      </c>
      <c r="F27" s="9">
        <f>COUNTIFS('All Tests'!$B$2:$B$301,A27,'All Tests'!$F$2:$F$301,"SAFE")</f>
        <v>8</v>
      </c>
      <c r="G27" s="9">
        <f>COUNTIFS('All Tests'!$B$2:$B$301,A27,'All Tests'!$H$2:$H$301,"PASS")</f>
        <v>16</v>
      </c>
      <c r="H27" s="10">
        <f t="shared" si="0"/>
        <v>1</v>
      </c>
    </row>
    <row r="28" spans="1:8" x14ac:dyDescent="0.3">
      <c r="A28" s="8" t="s">
        <v>49</v>
      </c>
      <c r="B28" s="8" t="s">
        <v>49</v>
      </c>
      <c r="C28" s="8" t="s">
        <v>50</v>
      </c>
      <c r="D28" s="9">
        <f>COUNTIF('All Tests'!$B$2:$B$301,A28)</f>
        <v>19</v>
      </c>
      <c r="E28" s="9">
        <f>COUNTIFS('All Tests'!$B$2:$B$301,A28,'All Tests'!$F$2:$F$301,"BLOCKED")</f>
        <v>13</v>
      </c>
      <c r="F28" s="9">
        <f>COUNTIFS('All Tests'!$B$2:$B$301,A28,'All Tests'!$F$2:$F$301,"SAFE")</f>
        <v>6</v>
      </c>
      <c r="G28" s="9">
        <f>COUNTIFS('All Tests'!$B$2:$B$301,A28,'All Tests'!$H$2:$H$301,"PASS")</f>
        <v>19</v>
      </c>
      <c r="H28" s="10">
        <f t="shared" si="0"/>
        <v>1</v>
      </c>
    </row>
    <row r="29" spans="1:8" ht="26.4" x14ac:dyDescent="0.3">
      <c r="A29" s="8" t="s">
        <v>51</v>
      </c>
      <c r="B29" s="8" t="s">
        <v>20</v>
      </c>
      <c r="C29" s="8" t="s">
        <v>52</v>
      </c>
      <c r="D29" s="9">
        <f>COUNTIF('All Tests'!$B$2:$B$301,A29)</f>
        <v>5</v>
      </c>
      <c r="E29" s="9">
        <f>COUNTIFS('All Tests'!$B$2:$B$301,A29,'All Tests'!$F$2:$F$301,"BLOCKED")</f>
        <v>5</v>
      </c>
      <c r="F29" s="9">
        <f>COUNTIFS('All Tests'!$B$2:$B$301,A29,'All Tests'!$F$2:$F$301,"SAFE")</f>
        <v>0</v>
      </c>
      <c r="G29" s="9">
        <f>COUNTIFS('All Tests'!$B$2:$B$301,A29,'All Tests'!$H$2:$H$301,"PASS")</f>
        <v>5</v>
      </c>
      <c r="H29" s="10">
        <f t="shared" si="0"/>
        <v>1</v>
      </c>
    </row>
    <row r="30" spans="1:8" x14ac:dyDescent="0.3">
      <c r="A30" s="8" t="s">
        <v>53</v>
      </c>
      <c r="B30" s="8" t="s">
        <v>49</v>
      </c>
      <c r="C30" s="8" t="s">
        <v>54</v>
      </c>
      <c r="D30" s="9">
        <f>COUNTIF('All Tests'!$B$2:$B$301,A30)</f>
        <v>7</v>
      </c>
      <c r="E30" s="9">
        <f>COUNTIFS('All Tests'!$B$2:$B$301,A30,'All Tests'!$F$2:$F$301,"BLOCKED")</f>
        <v>5</v>
      </c>
      <c r="F30" s="9">
        <f>COUNTIFS('All Tests'!$B$2:$B$301,A30,'All Tests'!$F$2:$F$301,"SAFE")</f>
        <v>2</v>
      </c>
      <c r="G30" s="9">
        <f>COUNTIFS('All Tests'!$B$2:$B$301,A30,'All Tests'!$H$2:$H$301,"PASS")</f>
        <v>7</v>
      </c>
      <c r="H30" s="10">
        <f t="shared" si="0"/>
        <v>1</v>
      </c>
    </row>
    <row r="31" spans="1:8" x14ac:dyDescent="0.3">
      <c r="A31" s="8" t="s">
        <v>55</v>
      </c>
      <c r="B31" s="8" t="s">
        <v>47</v>
      </c>
      <c r="C31" s="8" t="s">
        <v>56</v>
      </c>
      <c r="D31" s="9">
        <f>COUNTIF('All Tests'!$B$2:$B$301,A31)</f>
        <v>8</v>
      </c>
      <c r="E31" s="9">
        <f>COUNTIFS('All Tests'!$B$2:$B$301,A31,'All Tests'!$F$2:$F$301,"BLOCKED")</f>
        <v>4</v>
      </c>
      <c r="F31" s="9">
        <f>COUNTIFS('All Tests'!$B$2:$B$301,A31,'All Tests'!$F$2:$F$301,"SAFE")</f>
        <v>4</v>
      </c>
      <c r="G31" s="9">
        <f>COUNTIFS('All Tests'!$B$2:$B$301,A31,'All Tests'!$H$2:$H$301,"PASS")</f>
        <v>8</v>
      </c>
      <c r="H31" s="10">
        <f t="shared" si="0"/>
        <v>1</v>
      </c>
    </row>
    <row r="32" spans="1:8" x14ac:dyDescent="0.3">
      <c r="A32" s="8" t="s">
        <v>57</v>
      </c>
      <c r="B32" s="8" t="s">
        <v>49</v>
      </c>
      <c r="C32" s="8" t="s">
        <v>58</v>
      </c>
      <c r="D32" s="9">
        <f>COUNTIF('All Tests'!$B$2:$B$301,A32)</f>
        <v>8</v>
      </c>
      <c r="E32" s="9">
        <f>COUNTIFS('All Tests'!$B$2:$B$301,A32,'All Tests'!$F$2:$F$301,"BLOCKED")</f>
        <v>4</v>
      </c>
      <c r="F32" s="9">
        <f>COUNTIFS('All Tests'!$B$2:$B$301,A32,'All Tests'!$F$2:$F$301,"SAFE")</f>
        <v>4</v>
      </c>
      <c r="G32" s="9">
        <f>COUNTIFS('All Tests'!$B$2:$B$301,A32,'All Tests'!$H$2:$H$301,"PASS")</f>
        <v>8</v>
      </c>
      <c r="H32" s="10">
        <f t="shared" si="0"/>
        <v>1</v>
      </c>
    </row>
    <row r="33" spans="1:8" x14ac:dyDescent="0.3">
      <c r="A33" s="8" t="s">
        <v>59</v>
      </c>
      <c r="B33" s="8" t="s">
        <v>60</v>
      </c>
      <c r="C33" s="8" t="s">
        <v>61</v>
      </c>
      <c r="D33" s="9">
        <f>COUNTIF('All Tests'!$B$2:$B$301,A33)</f>
        <v>4</v>
      </c>
      <c r="E33" s="9">
        <f>COUNTIFS('All Tests'!$B$2:$B$301,A33,'All Tests'!$F$2:$F$301,"BLOCKED")</f>
        <v>2</v>
      </c>
      <c r="F33" s="9">
        <f>COUNTIFS('All Tests'!$B$2:$B$301,A33,'All Tests'!$F$2:$F$301,"SAFE")</f>
        <v>2</v>
      </c>
      <c r="G33" s="9">
        <f>COUNTIFS('All Tests'!$B$2:$B$301,A33,'All Tests'!$H$2:$H$301,"PASS")</f>
        <v>4</v>
      </c>
      <c r="H33" s="10">
        <f t="shared" si="0"/>
        <v>1</v>
      </c>
    </row>
    <row r="34" spans="1:8" x14ac:dyDescent="0.3">
      <c r="A34" s="8" t="s">
        <v>62</v>
      </c>
      <c r="B34" s="8" t="s">
        <v>63</v>
      </c>
      <c r="C34" s="8" t="s">
        <v>64</v>
      </c>
      <c r="D34" s="9">
        <f>COUNTIF('All Tests'!$B$2:$B$301,A34)</f>
        <v>23</v>
      </c>
      <c r="E34" s="9">
        <f>COUNTIFS('All Tests'!$B$2:$B$301,A34,'All Tests'!$F$2:$F$301,"BLOCKED")</f>
        <v>0</v>
      </c>
      <c r="F34" s="9">
        <f>COUNTIFS('All Tests'!$B$2:$B$301,A34,'All Tests'!$F$2:$F$301,"SAFE")</f>
        <v>23</v>
      </c>
      <c r="G34" s="9">
        <f>COUNTIFS('All Tests'!$B$2:$B$301,A34,'All Tests'!$H$2:$H$301,"PASS")</f>
        <v>23</v>
      </c>
      <c r="H34" s="10">
        <f t="shared" si="0"/>
        <v>1</v>
      </c>
    </row>
    <row r="35" spans="1:8" x14ac:dyDescent="0.3">
      <c r="A35" s="8" t="s">
        <v>65</v>
      </c>
      <c r="B35" s="8" t="s">
        <v>63</v>
      </c>
      <c r="C35" s="8" t="s">
        <v>66</v>
      </c>
      <c r="D35" s="9">
        <f>COUNTIF('All Tests'!$B$2:$B$301,A35)</f>
        <v>6</v>
      </c>
      <c r="E35" s="9">
        <f>COUNTIFS('All Tests'!$B$2:$B$301,A35,'All Tests'!$F$2:$F$301,"BLOCKED")</f>
        <v>0</v>
      </c>
      <c r="F35" s="9">
        <f>COUNTIFS('All Tests'!$B$2:$B$301,A35,'All Tests'!$F$2:$F$301,"SAFE")</f>
        <v>6</v>
      </c>
      <c r="G35" s="9">
        <f>COUNTIFS('All Tests'!$B$2:$B$301,A35,'All Tests'!$H$2:$H$301,"PASS")</f>
        <v>6</v>
      </c>
      <c r="H35" s="10">
        <f t="shared" si="0"/>
        <v>1</v>
      </c>
    </row>
    <row r="36" spans="1:8" x14ac:dyDescent="0.3">
      <c r="A36" s="11" t="s">
        <v>67</v>
      </c>
      <c r="B36" s="8" t="s">
        <v>68</v>
      </c>
      <c r="C36" s="8" t="s">
        <v>69</v>
      </c>
      <c r="D36" s="9">
        <f>COUNTIF('All Tests'!$B$2:$B$301,A36)</f>
        <v>7</v>
      </c>
      <c r="E36" s="9">
        <f>COUNTIFS('All Tests'!$B$2:$B$301,A36,'All Tests'!$F$2:$F$301,"BLOCKED")</f>
        <v>6</v>
      </c>
      <c r="F36" s="9">
        <f>COUNTIFS('All Tests'!$B$2:$B$301,A36,'All Tests'!$F$2:$F$301,"SAFE")</f>
        <v>1</v>
      </c>
      <c r="G36" s="9">
        <f>COUNTIFS('All Tests'!$B$2:$B$301,A36,'All Tests'!$H$2:$H$301,"PASS")</f>
        <v>7</v>
      </c>
      <c r="H36" s="10">
        <f t="shared" si="0"/>
        <v>1</v>
      </c>
    </row>
    <row r="37" spans="1:8" x14ac:dyDescent="0.3">
      <c r="A37" s="11" t="s">
        <v>70</v>
      </c>
      <c r="B37" s="8" t="s">
        <v>70</v>
      </c>
      <c r="C37" s="8" t="s">
        <v>71</v>
      </c>
      <c r="D37" s="9">
        <f>COUNTIF('All Tests'!$B$2:$B$301,A37)</f>
        <v>4</v>
      </c>
      <c r="E37" s="9">
        <f>COUNTIFS('All Tests'!$B$2:$B$301,A37,'All Tests'!$F$2:$F$301,"BLOCKED")</f>
        <v>3</v>
      </c>
      <c r="F37" s="9">
        <f>COUNTIFS('All Tests'!$B$2:$B$301,A37,'All Tests'!$F$2:$F$301,"SAFE")</f>
        <v>1</v>
      </c>
      <c r="G37" s="9">
        <f>COUNTIFS('All Tests'!$B$2:$B$301,A37,'All Tests'!$H$2:$H$301,"PASS")</f>
        <v>4</v>
      </c>
      <c r="H37" s="10">
        <f t="shared" si="0"/>
        <v>1</v>
      </c>
    </row>
    <row r="38" spans="1:8" ht="26.4" x14ac:dyDescent="0.3">
      <c r="A38" s="11" t="s">
        <v>72</v>
      </c>
      <c r="B38" s="8" t="s">
        <v>41</v>
      </c>
      <c r="C38" s="8" t="s">
        <v>73</v>
      </c>
      <c r="D38" s="9">
        <f>COUNTIF('All Tests'!$B$2:$B$301,A38)</f>
        <v>16</v>
      </c>
      <c r="E38" s="9">
        <f>COUNTIFS('All Tests'!$B$2:$B$301,A38,'All Tests'!$F$2:$F$301,"BLOCKED")</f>
        <v>12</v>
      </c>
      <c r="F38" s="9">
        <f>COUNTIFS('All Tests'!$B$2:$B$301,A38,'All Tests'!$F$2:$F$301,"SAFE")</f>
        <v>4</v>
      </c>
      <c r="G38" s="9">
        <f>COUNTIFS('All Tests'!$B$2:$B$301,A38,'All Tests'!$H$2:$H$301,"PASS")</f>
        <v>16</v>
      </c>
      <c r="H38" s="10">
        <f t="shared" si="0"/>
        <v>1</v>
      </c>
    </row>
    <row r="39" spans="1:8" ht="26.4" x14ac:dyDescent="0.3">
      <c r="A39" s="11" t="s">
        <v>74</v>
      </c>
      <c r="B39" s="8" t="s">
        <v>49</v>
      </c>
      <c r="C39" s="8" t="s">
        <v>75</v>
      </c>
      <c r="D39" s="9">
        <f>COUNTIF('All Tests'!$B$2:$B$301,A39)</f>
        <v>7</v>
      </c>
      <c r="E39" s="9">
        <f>COUNTIFS('All Tests'!$B$2:$B$301,A39,'All Tests'!$F$2:$F$301,"BLOCKED")</f>
        <v>6</v>
      </c>
      <c r="F39" s="9">
        <f>COUNTIFS('All Tests'!$B$2:$B$301,A39,'All Tests'!$F$2:$F$301,"SAFE")</f>
        <v>1</v>
      </c>
      <c r="G39" s="9">
        <f>COUNTIFS('All Tests'!$B$2:$B$301,A39,'All Tests'!$H$2:$H$301,"PASS")</f>
        <v>7</v>
      </c>
      <c r="H39" s="10">
        <f t="shared" si="0"/>
        <v>1</v>
      </c>
    </row>
    <row r="40" spans="1:8" x14ac:dyDescent="0.3">
      <c r="A40" s="11" t="s">
        <v>76</v>
      </c>
      <c r="B40" s="8" t="s">
        <v>76</v>
      </c>
      <c r="C40" s="8" t="s">
        <v>77</v>
      </c>
      <c r="D40" s="9">
        <f>COUNTIF('All Tests'!$B$2:$B$301,A40)</f>
        <v>4</v>
      </c>
      <c r="E40" s="9">
        <f>COUNTIFS('All Tests'!$B$2:$B$301,A40,'All Tests'!$F$2:$F$301,"BLOCKED")</f>
        <v>3</v>
      </c>
      <c r="F40" s="9">
        <f>COUNTIFS('All Tests'!$B$2:$B$301,A40,'All Tests'!$F$2:$F$301,"SAFE")</f>
        <v>1</v>
      </c>
      <c r="G40" s="9">
        <f>COUNTIFS('All Tests'!$B$2:$B$301,A40,'All Tests'!$H$2:$H$301,"PASS")</f>
        <v>4</v>
      </c>
      <c r="H40" s="10">
        <f t="shared" si="0"/>
        <v>1</v>
      </c>
    </row>
    <row r="41" spans="1:8" x14ac:dyDescent="0.3">
      <c r="A41" s="11" t="s">
        <v>78</v>
      </c>
      <c r="B41" s="8" t="s">
        <v>79</v>
      </c>
      <c r="C41" s="8" t="s">
        <v>80</v>
      </c>
      <c r="D41" s="9">
        <f>COUNTIF('All Tests'!$B$2:$B$301,A41)</f>
        <v>6</v>
      </c>
      <c r="E41" s="9">
        <f>COUNTIFS('All Tests'!$B$2:$B$301,A41,'All Tests'!$F$2:$F$301,"BLOCKED")</f>
        <v>3</v>
      </c>
      <c r="F41" s="9">
        <f>COUNTIFS('All Tests'!$B$2:$B$301,A41,'All Tests'!$F$2:$F$301,"SAFE")</f>
        <v>3</v>
      </c>
      <c r="G41" s="9">
        <f>COUNTIFS('All Tests'!$B$2:$B$301,A41,'All Tests'!$H$2:$H$301,"PASS")</f>
        <v>6</v>
      </c>
      <c r="H41" s="10">
        <f t="shared" si="0"/>
        <v>1</v>
      </c>
    </row>
    <row r="42" spans="1:8" x14ac:dyDescent="0.3">
      <c r="A42" s="11" t="s">
        <v>81</v>
      </c>
      <c r="B42" s="8" t="s">
        <v>44</v>
      </c>
      <c r="C42" s="8" t="s">
        <v>82</v>
      </c>
      <c r="D42" s="9">
        <f>COUNTIF('All Tests'!$B$2:$B$301,A42)</f>
        <v>8</v>
      </c>
      <c r="E42" s="9">
        <f>COUNTIFS('All Tests'!$B$2:$B$301,A42,'All Tests'!$F$2:$F$301,"BLOCKED")</f>
        <v>5</v>
      </c>
      <c r="F42" s="9">
        <f>COUNTIFS('All Tests'!$B$2:$B$301,A42,'All Tests'!$F$2:$F$301,"SAFE")</f>
        <v>3</v>
      </c>
      <c r="G42" s="9">
        <f>COUNTIFS('All Tests'!$B$2:$B$301,A42,'All Tests'!$H$2:$H$301,"PASS")</f>
        <v>8</v>
      </c>
      <c r="H42" s="10">
        <f t="shared" si="0"/>
        <v>1</v>
      </c>
    </row>
    <row r="43" spans="1:8" ht="26.4" x14ac:dyDescent="0.3">
      <c r="A43" s="11" t="s">
        <v>83</v>
      </c>
      <c r="B43" s="8" t="s">
        <v>84</v>
      </c>
      <c r="C43" s="8" t="s">
        <v>85</v>
      </c>
      <c r="D43" s="9">
        <f>COUNTIF('All Tests'!$B$2:$B$301,A43)</f>
        <v>13</v>
      </c>
      <c r="E43" s="9">
        <f>COUNTIFS('All Tests'!$B$2:$B$301,A43,'All Tests'!$F$2:$F$301,"BLOCKED")</f>
        <v>7</v>
      </c>
      <c r="F43" s="9">
        <f>COUNTIFS('All Tests'!$B$2:$B$301,A43,'All Tests'!$F$2:$F$301,"SAFE")</f>
        <v>6</v>
      </c>
      <c r="G43" s="9">
        <f>COUNTIFS('All Tests'!$B$2:$B$301,A43,'All Tests'!$H$2:$H$301,"PASS")</f>
        <v>13</v>
      </c>
      <c r="H43" s="10">
        <f t="shared" si="0"/>
        <v>1</v>
      </c>
    </row>
    <row r="44" spans="1:8" x14ac:dyDescent="0.3">
      <c r="A44" s="2" t="s">
        <v>86</v>
      </c>
    </row>
    <row r="46" spans="1:8" ht="15.6" x14ac:dyDescent="0.3">
      <c r="A46" s="6" t="s">
        <v>87</v>
      </c>
    </row>
    <row r="47" spans="1:8" ht="30" customHeight="1" x14ac:dyDescent="0.3">
      <c r="A47" s="12" t="s">
        <v>88</v>
      </c>
      <c r="B47" s="18" t="s">
        <v>89</v>
      </c>
      <c r="C47" s="19"/>
      <c r="D47" s="19"/>
      <c r="E47" s="19"/>
      <c r="F47" s="19"/>
      <c r="G47" s="19"/>
      <c r="H47" s="19"/>
    </row>
    <row r="48" spans="1:8" ht="30" customHeight="1" x14ac:dyDescent="0.3">
      <c r="A48" s="12" t="s">
        <v>90</v>
      </c>
      <c r="B48" s="18" t="s">
        <v>91</v>
      </c>
      <c r="C48" s="19"/>
      <c r="D48" s="19"/>
      <c r="E48" s="19"/>
      <c r="F48" s="19"/>
      <c r="G48" s="19"/>
      <c r="H48" s="19"/>
    </row>
    <row r="49" spans="1:8" ht="30" customHeight="1" x14ac:dyDescent="0.3">
      <c r="A49" s="12" t="s">
        <v>92</v>
      </c>
      <c r="B49" s="18" t="s">
        <v>93</v>
      </c>
      <c r="C49" s="19"/>
      <c r="D49" s="19"/>
      <c r="E49" s="19"/>
      <c r="F49" s="19"/>
      <c r="G49" s="19"/>
      <c r="H49" s="19"/>
    </row>
    <row r="50" spans="1:8" ht="30" customHeight="1" x14ac:dyDescent="0.3">
      <c r="A50" s="12" t="s">
        <v>94</v>
      </c>
      <c r="B50" s="18" t="s">
        <v>95</v>
      </c>
      <c r="C50" s="19"/>
      <c r="D50" s="19"/>
      <c r="E50" s="19"/>
      <c r="F50" s="19"/>
      <c r="G50" s="19"/>
      <c r="H50" s="19"/>
    </row>
    <row r="51" spans="1:8" ht="30" customHeight="1" x14ac:dyDescent="0.3">
      <c r="A51" s="12" t="s">
        <v>96</v>
      </c>
      <c r="B51" s="18" t="s">
        <v>97</v>
      </c>
      <c r="C51" s="19"/>
      <c r="D51" s="19"/>
      <c r="E51" s="19"/>
      <c r="F51" s="19"/>
      <c r="G51" s="19"/>
      <c r="H51" s="19"/>
    </row>
    <row r="52" spans="1:8" ht="30" customHeight="1" x14ac:dyDescent="0.3">
      <c r="A52" s="12" t="s">
        <v>98</v>
      </c>
      <c r="B52" s="18" t="s">
        <v>99</v>
      </c>
      <c r="C52" s="19"/>
      <c r="D52" s="19"/>
      <c r="E52" s="19"/>
      <c r="F52" s="19"/>
      <c r="G52" s="19"/>
      <c r="H52" s="19"/>
    </row>
  </sheetData>
  <mergeCells count="6">
    <mergeCell ref="B50:H50"/>
    <mergeCell ref="B49:H49"/>
    <mergeCell ref="B52:H52"/>
    <mergeCell ref="B47:H47"/>
    <mergeCell ref="B48:H48"/>
    <mergeCell ref="B51:H5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defaultRowHeight="14.4" x14ac:dyDescent="0.3"/>
  <cols>
    <col min="1" max="1" width="7" customWidth="1"/>
    <col min="2" max="2" width="34" customWidth="1"/>
    <col min="3" max="3" width="110" customWidth="1"/>
  </cols>
  <sheetData>
    <row r="1" spans="1:3" ht="21" x14ac:dyDescent="0.4">
      <c r="A1" s="1" t="s">
        <v>100</v>
      </c>
    </row>
    <row r="2" spans="1:3" x14ac:dyDescent="0.3">
      <c r="A2" s="2" t="s">
        <v>101</v>
      </c>
    </row>
    <row r="4" spans="1:3" x14ac:dyDescent="0.3">
      <c r="A4" s="13" t="s">
        <v>102</v>
      </c>
      <c r="B4" s="13" t="s">
        <v>103</v>
      </c>
      <c r="C4" s="13" t="s">
        <v>104</v>
      </c>
    </row>
    <row r="5" spans="1:3" x14ac:dyDescent="0.3">
      <c r="A5" s="9" t="s">
        <v>105</v>
      </c>
      <c r="B5" s="14" t="s">
        <v>106</v>
      </c>
      <c r="C5" s="8" t="s">
        <v>107</v>
      </c>
    </row>
    <row r="6" spans="1:3" ht="26.4" x14ac:dyDescent="0.3">
      <c r="A6" s="9" t="s">
        <v>108</v>
      </c>
      <c r="B6" s="14" t="s">
        <v>109</v>
      </c>
      <c r="C6" s="8" t="s">
        <v>110</v>
      </c>
    </row>
    <row r="7" spans="1:3" ht="26.4" x14ac:dyDescent="0.3">
      <c r="A7" s="9" t="s">
        <v>111</v>
      </c>
      <c r="B7" s="14" t="s">
        <v>112</v>
      </c>
      <c r="C7" s="8" t="s">
        <v>113</v>
      </c>
    </row>
    <row r="8" spans="1:3" ht="26.4" x14ac:dyDescent="0.3">
      <c r="A8" s="9" t="s">
        <v>114</v>
      </c>
      <c r="B8" s="14" t="s">
        <v>115</v>
      </c>
      <c r="C8" s="8" t="s">
        <v>116</v>
      </c>
    </row>
    <row r="9" spans="1:3" x14ac:dyDescent="0.3">
      <c r="A9" s="9" t="s">
        <v>117</v>
      </c>
      <c r="B9" s="14" t="s">
        <v>118</v>
      </c>
      <c r="C9" s="8" t="s">
        <v>119</v>
      </c>
    </row>
    <row r="10" spans="1:3" x14ac:dyDescent="0.3">
      <c r="A10" s="9" t="s">
        <v>120</v>
      </c>
      <c r="B10" s="14" t="s">
        <v>121</v>
      </c>
      <c r="C10" s="8" t="s">
        <v>122</v>
      </c>
    </row>
    <row r="11" spans="1:3" x14ac:dyDescent="0.3">
      <c r="A11" s="9" t="s">
        <v>123</v>
      </c>
      <c r="B11" s="14" t="s">
        <v>124</v>
      </c>
      <c r="C11" s="8" t="s">
        <v>125</v>
      </c>
    </row>
    <row r="12" spans="1:3" x14ac:dyDescent="0.3">
      <c r="A12" s="9" t="s">
        <v>126</v>
      </c>
      <c r="B12" s="14" t="s">
        <v>127</v>
      </c>
      <c r="C12" s="8" t="s">
        <v>128</v>
      </c>
    </row>
    <row r="13" spans="1:3" ht="26.4" x14ac:dyDescent="0.3">
      <c r="A13" s="9" t="s">
        <v>129</v>
      </c>
      <c r="B13" s="14" t="s">
        <v>130</v>
      </c>
      <c r="C13" s="8" t="s">
        <v>131</v>
      </c>
    </row>
    <row r="14" spans="1:3" x14ac:dyDescent="0.3">
      <c r="A14" s="9" t="s">
        <v>132</v>
      </c>
      <c r="B14" s="14" t="s">
        <v>133</v>
      </c>
      <c r="C14" s="8" t="s">
        <v>134</v>
      </c>
    </row>
    <row r="16" spans="1:3" ht="15.6" x14ac:dyDescent="0.3">
      <c r="A16" s="6" t="s">
        <v>135</v>
      </c>
    </row>
    <row r="17" spans="1:3" ht="31.95" customHeight="1" x14ac:dyDescent="0.3">
      <c r="A17" s="18" t="s">
        <v>136</v>
      </c>
      <c r="B17" s="19"/>
      <c r="C17" s="19"/>
    </row>
  </sheetData>
  <mergeCells count="1">
    <mergeCell ref="A17:C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pane xSplit="1" ySplit="4" topLeftCell="B5" activePane="bottomRight" state="frozen"/>
      <selection pane="topRight"/>
      <selection pane="bottomLeft"/>
      <selection pane="bottomRight"/>
    </sheetView>
  </sheetViews>
  <sheetFormatPr defaultRowHeight="14.4" x14ac:dyDescent="0.3"/>
  <cols>
    <col min="1" max="1" width="26" customWidth="1"/>
    <col min="2" max="3" width="48" customWidth="1"/>
    <col min="4" max="4" width="44" customWidth="1"/>
    <col min="5" max="5" width="40" customWidth="1"/>
    <col min="6" max="6" width="16" customWidth="1"/>
  </cols>
  <sheetData>
    <row r="1" spans="1:6" ht="21" x14ac:dyDescent="0.4">
      <c r="A1" s="1" t="s">
        <v>137</v>
      </c>
    </row>
    <row r="2" spans="1:6" x14ac:dyDescent="0.3">
      <c r="A2" s="2" t="s">
        <v>138</v>
      </c>
    </row>
    <row r="4" spans="1:6" x14ac:dyDescent="0.3">
      <c r="A4" s="13" t="s">
        <v>139</v>
      </c>
      <c r="B4" s="13" t="s">
        <v>140</v>
      </c>
      <c r="C4" s="13" t="s">
        <v>141</v>
      </c>
      <c r="D4" s="13" t="s">
        <v>142</v>
      </c>
      <c r="E4" s="13" t="s">
        <v>143</v>
      </c>
      <c r="F4" s="13" t="s">
        <v>144</v>
      </c>
    </row>
    <row r="5" spans="1:6" ht="52.8" x14ac:dyDescent="0.3">
      <c r="A5" s="14" t="s">
        <v>20</v>
      </c>
      <c r="B5" s="8" t="s">
        <v>145</v>
      </c>
      <c r="C5" s="8" t="s">
        <v>146</v>
      </c>
      <c r="D5" s="15" t="s">
        <v>147</v>
      </c>
      <c r="E5" s="16" t="s">
        <v>148</v>
      </c>
      <c r="F5" s="8" t="s">
        <v>149</v>
      </c>
    </row>
    <row r="6" spans="1:6" ht="26.4" x14ac:dyDescent="0.3">
      <c r="A6" s="14" t="s">
        <v>35</v>
      </c>
      <c r="B6" s="8" t="s">
        <v>150</v>
      </c>
      <c r="C6" s="8" t="s">
        <v>151</v>
      </c>
      <c r="D6" s="15" t="s">
        <v>152</v>
      </c>
      <c r="E6" s="16" t="s">
        <v>153</v>
      </c>
      <c r="F6" s="8" t="s">
        <v>149</v>
      </c>
    </row>
    <row r="7" spans="1:6" ht="26.4" x14ac:dyDescent="0.3">
      <c r="A7" s="14" t="s">
        <v>154</v>
      </c>
      <c r="B7" s="8" t="s">
        <v>155</v>
      </c>
      <c r="C7" s="8" t="s">
        <v>156</v>
      </c>
      <c r="D7" s="15" t="s">
        <v>157</v>
      </c>
      <c r="E7" s="16" t="s">
        <v>158</v>
      </c>
      <c r="F7" s="8" t="s">
        <v>149</v>
      </c>
    </row>
    <row r="8" spans="1:6" ht="26.4" x14ac:dyDescent="0.3">
      <c r="A8" s="14" t="s">
        <v>38</v>
      </c>
      <c r="B8" s="8" t="s">
        <v>159</v>
      </c>
      <c r="C8" s="8" t="s">
        <v>160</v>
      </c>
      <c r="D8" s="15" t="s">
        <v>161</v>
      </c>
      <c r="E8" s="16" t="s">
        <v>162</v>
      </c>
      <c r="F8" s="8" t="s">
        <v>163</v>
      </c>
    </row>
    <row r="9" spans="1:6" ht="26.4" x14ac:dyDescent="0.3">
      <c r="A9" s="14" t="s">
        <v>164</v>
      </c>
      <c r="B9" s="8" t="s">
        <v>165</v>
      </c>
      <c r="C9" s="8" t="s">
        <v>166</v>
      </c>
      <c r="D9" s="15" t="s">
        <v>167</v>
      </c>
      <c r="E9" s="16" t="s">
        <v>168</v>
      </c>
      <c r="F9" s="8" t="s">
        <v>149</v>
      </c>
    </row>
    <row r="10" spans="1:6" ht="26.4" x14ac:dyDescent="0.3">
      <c r="A10" s="14" t="s">
        <v>41</v>
      </c>
      <c r="B10" s="8" t="s">
        <v>169</v>
      </c>
      <c r="C10" s="8" t="s">
        <v>170</v>
      </c>
      <c r="D10" s="15" t="s">
        <v>171</v>
      </c>
      <c r="E10" s="16" t="s">
        <v>172</v>
      </c>
      <c r="F10" s="8" t="s">
        <v>173</v>
      </c>
    </row>
    <row r="11" spans="1:6" ht="26.4" x14ac:dyDescent="0.3">
      <c r="A11" s="14" t="s">
        <v>44</v>
      </c>
      <c r="B11" s="8" t="s">
        <v>174</v>
      </c>
      <c r="C11" s="8" t="s">
        <v>175</v>
      </c>
      <c r="D11" s="15" t="s">
        <v>176</v>
      </c>
      <c r="E11" s="16" t="s">
        <v>177</v>
      </c>
      <c r="F11" s="8" t="s">
        <v>173</v>
      </c>
    </row>
    <row r="12" spans="1:6" ht="26.4" x14ac:dyDescent="0.3">
      <c r="A12" s="14" t="s">
        <v>47</v>
      </c>
      <c r="B12" s="8" t="s">
        <v>178</v>
      </c>
      <c r="C12" s="8" t="s">
        <v>179</v>
      </c>
      <c r="D12" s="15" t="s">
        <v>180</v>
      </c>
      <c r="E12" s="16" t="s">
        <v>181</v>
      </c>
      <c r="F12" s="8" t="s">
        <v>149</v>
      </c>
    </row>
    <row r="13" spans="1:6" ht="66" x14ac:dyDescent="0.3">
      <c r="A13" s="14" t="s">
        <v>49</v>
      </c>
      <c r="B13" s="8" t="s">
        <v>182</v>
      </c>
      <c r="C13" s="8" t="s">
        <v>183</v>
      </c>
      <c r="D13" s="15" t="s">
        <v>184</v>
      </c>
      <c r="E13" s="16" t="s">
        <v>185</v>
      </c>
      <c r="F13" s="8" t="s">
        <v>186</v>
      </c>
    </row>
    <row r="14" spans="1:6" ht="26.4" x14ac:dyDescent="0.3">
      <c r="A14" s="14" t="s">
        <v>60</v>
      </c>
      <c r="B14" s="8" t="s">
        <v>187</v>
      </c>
      <c r="C14" s="8" t="s">
        <v>188</v>
      </c>
      <c r="D14" s="15" t="s">
        <v>189</v>
      </c>
      <c r="E14" s="16" t="s">
        <v>190</v>
      </c>
      <c r="F14" s="8" t="s">
        <v>149</v>
      </c>
    </row>
    <row r="15" spans="1:6" ht="26.4" x14ac:dyDescent="0.3">
      <c r="A15" s="14" t="s">
        <v>68</v>
      </c>
      <c r="B15" s="8" t="s">
        <v>191</v>
      </c>
      <c r="C15" s="8" t="s">
        <v>192</v>
      </c>
      <c r="D15" s="15" t="s">
        <v>193</v>
      </c>
      <c r="E15" s="16" t="s">
        <v>194</v>
      </c>
      <c r="F15" s="8" t="s">
        <v>195</v>
      </c>
    </row>
    <row r="16" spans="1:6" ht="26.4" x14ac:dyDescent="0.3">
      <c r="A16" s="14" t="s">
        <v>70</v>
      </c>
      <c r="B16" s="8" t="s">
        <v>196</v>
      </c>
      <c r="C16" s="8" t="s">
        <v>197</v>
      </c>
      <c r="D16" s="15" t="s">
        <v>198</v>
      </c>
      <c r="E16" s="16" t="s">
        <v>199</v>
      </c>
      <c r="F16" s="8" t="s">
        <v>195</v>
      </c>
    </row>
    <row r="17" spans="1:6" ht="26.4" x14ac:dyDescent="0.3">
      <c r="A17" s="14" t="s">
        <v>76</v>
      </c>
      <c r="B17" s="8" t="s">
        <v>200</v>
      </c>
      <c r="C17" s="8" t="s">
        <v>201</v>
      </c>
      <c r="D17" s="15" t="s">
        <v>202</v>
      </c>
      <c r="E17" s="16" t="s">
        <v>194</v>
      </c>
      <c r="F17" s="8" t="s">
        <v>195</v>
      </c>
    </row>
    <row r="18" spans="1:6" x14ac:dyDescent="0.3">
      <c r="A18" s="14" t="s">
        <v>203</v>
      </c>
      <c r="B18" s="8" t="s">
        <v>204</v>
      </c>
      <c r="C18" s="8" t="s">
        <v>205</v>
      </c>
      <c r="D18" s="15" t="s">
        <v>206</v>
      </c>
      <c r="E18" s="16" t="s">
        <v>207</v>
      </c>
      <c r="F18" s="8" t="s">
        <v>195</v>
      </c>
    </row>
    <row r="19" spans="1:6" ht="26.4" x14ac:dyDescent="0.3">
      <c r="A19" s="14" t="s">
        <v>208</v>
      </c>
      <c r="B19" s="8" t="s">
        <v>209</v>
      </c>
      <c r="C19" s="8" t="s">
        <v>210</v>
      </c>
      <c r="D19" s="15" t="s">
        <v>211</v>
      </c>
      <c r="E19" s="16" t="s">
        <v>212</v>
      </c>
      <c r="F19" s="8" t="s">
        <v>195</v>
      </c>
    </row>
    <row r="20" spans="1:6" ht="26.4" x14ac:dyDescent="0.3">
      <c r="A20" s="14" t="s">
        <v>213</v>
      </c>
      <c r="B20" s="8" t="s">
        <v>214</v>
      </c>
      <c r="C20" s="8" t="s">
        <v>215</v>
      </c>
      <c r="D20" s="15" t="s">
        <v>216</v>
      </c>
      <c r="E20" s="16" t="s">
        <v>194</v>
      </c>
      <c r="F20" s="8" t="s">
        <v>195</v>
      </c>
    </row>
    <row r="21" spans="1:6" ht="39.6" x14ac:dyDescent="0.3">
      <c r="A21" s="14" t="s">
        <v>217</v>
      </c>
      <c r="B21" s="8" t="s">
        <v>218</v>
      </c>
      <c r="C21" s="8" t="s">
        <v>219</v>
      </c>
      <c r="D21" s="15" t="s">
        <v>220</v>
      </c>
      <c r="E21" s="16" t="s">
        <v>221</v>
      </c>
      <c r="F21" s="8"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01"/>
  <sheetViews>
    <sheetView workbookViewId="0">
      <pane xSplit="3" ySplit="1" topLeftCell="D2" activePane="bottomRight" state="frozen"/>
      <selection pane="topRight"/>
      <selection pane="bottomLeft"/>
      <selection pane="bottomRight"/>
    </sheetView>
  </sheetViews>
  <sheetFormatPr defaultRowHeight="14.4" x14ac:dyDescent="0.3"/>
  <cols>
    <col min="1" max="1" width="20" customWidth="1"/>
    <col min="2" max="2" width="22" customWidth="1"/>
    <col min="3" max="3" width="70" customWidth="1"/>
    <col min="4" max="6" width="11" customWidth="1"/>
    <col min="7" max="7" width="12" customWidth="1"/>
    <col min="8" max="8" width="9" customWidth="1"/>
    <col min="9" max="9" width="30" customWidth="1"/>
    <col min="10" max="10" width="60" customWidth="1"/>
    <col min="11" max="11" width="14" customWidth="1"/>
    <col min="12" max="12" width="50" customWidth="1"/>
    <col min="13" max="13" width="22" customWidth="1"/>
  </cols>
  <sheetData>
    <row r="1" spans="1:13" ht="30" customHeight="1" x14ac:dyDescent="0.3">
      <c r="A1" s="7" t="s">
        <v>222</v>
      </c>
      <c r="B1" s="7" t="s">
        <v>13</v>
      </c>
      <c r="C1" s="7" t="s">
        <v>223</v>
      </c>
      <c r="D1" s="7" t="s">
        <v>224</v>
      </c>
      <c r="E1" s="7" t="s">
        <v>225</v>
      </c>
      <c r="F1" s="7" t="s">
        <v>226</v>
      </c>
      <c r="G1" s="7" t="s">
        <v>227</v>
      </c>
      <c r="H1" s="7" t="s">
        <v>228</v>
      </c>
      <c r="I1" s="7" t="s">
        <v>229</v>
      </c>
      <c r="J1" s="7" t="s">
        <v>230</v>
      </c>
      <c r="K1" s="7" t="s">
        <v>231</v>
      </c>
      <c r="L1" s="7" t="s">
        <v>232</v>
      </c>
      <c r="M1" s="7" t="s">
        <v>233</v>
      </c>
    </row>
    <row r="2" spans="1:13" x14ac:dyDescent="0.3">
      <c r="A2" s="8" t="s">
        <v>234</v>
      </c>
      <c r="B2" s="8" t="s">
        <v>19</v>
      </c>
      <c r="C2" s="17" t="s">
        <v>235</v>
      </c>
      <c r="D2" s="9" t="s">
        <v>236</v>
      </c>
      <c r="E2" s="9" t="s">
        <v>236</v>
      </c>
      <c r="F2" s="9" t="s">
        <v>237</v>
      </c>
      <c r="G2" s="9" t="s">
        <v>237</v>
      </c>
      <c r="H2" s="9" t="str">
        <f t="shared" ref="H2:H65" si="0">IF(G2=F2,"PASS","FAIL")</f>
        <v>PASS</v>
      </c>
      <c r="I2" s="8" t="s">
        <v>20</v>
      </c>
      <c r="J2" s="8" t="s">
        <v>238</v>
      </c>
      <c r="K2" s="9" t="s">
        <v>237</v>
      </c>
      <c r="L2" s="8"/>
      <c r="M2" s="8" t="s">
        <v>239</v>
      </c>
    </row>
    <row r="3" spans="1:13" x14ac:dyDescent="0.3">
      <c r="A3" s="8" t="s">
        <v>240</v>
      </c>
      <c r="B3" s="8" t="s">
        <v>19</v>
      </c>
      <c r="C3" s="17" t="s">
        <v>241</v>
      </c>
      <c r="D3" s="9" t="s">
        <v>236</v>
      </c>
      <c r="E3" s="9" t="s">
        <v>236</v>
      </c>
      <c r="F3" s="9" t="s">
        <v>242</v>
      </c>
      <c r="G3" s="9" t="s">
        <v>242</v>
      </c>
      <c r="H3" s="9" t="str">
        <f t="shared" si="0"/>
        <v>PASS</v>
      </c>
      <c r="I3" s="8" t="s">
        <v>168</v>
      </c>
      <c r="J3" s="8" t="s">
        <v>168</v>
      </c>
      <c r="K3" s="9" t="s">
        <v>242</v>
      </c>
      <c r="L3" s="8"/>
      <c r="M3" s="8" t="s">
        <v>239</v>
      </c>
    </row>
    <row r="4" spans="1:13" x14ac:dyDescent="0.3">
      <c r="A4" s="8" t="s">
        <v>243</v>
      </c>
      <c r="B4" s="8" t="s">
        <v>19</v>
      </c>
      <c r="C4" s="17" t="s">
        <v>147</v>
      </c>
      <c r="D4" s="9" t="s">
        <v>236</v>
      </c>
      <c r="E4" s="9" t="s">
        <v>236</v>
      </c>
      <c r="F4" s="9" t="s">
        <v>237</v>
      </c>
      <c r="G4" s="9" t="s">
        <v>237</v>
      </c>
      <c r="H4" s="9" t="str">
        <f t="shared" si="0"/>
        <v>PASS</v>
      </c>
      <c r="I4" s="8" t="s">
        <v>20</v>
      </c>
      <c r="J4" s="8" t="s">
        <v>238</v>
      </c>
      <c r="K4" s="9" t="s">
        <v>237</v>
      </c>
      <c r="L4" s="8"/>
      <c r="M4" s="8" t="s">
        <v>239</v>
      </c>
    </row>
    <row r="5" spans="1:13" x14ac:dyDescent="0.3">
      <c r="A5" s="8" t="s">
        <v>244</v>
      </c>
      <c r="B5" s="8" t="s">
        <v>19</v>
      </c>
      <c r="C5" s="17" t="s">
        <v>194</v>
      </c>
      <c r="D5" s="9" t="s">
        <v>236</v>
      </c>
      <c r="E5" s="9" t="s">
        <v>236</v>
      </c>
      <c r="F5" s="9" t="s">
        <v>242</v>
      </c>
      <c r="G5" s="9" t="s">
        <v>242</v>
      </c>
      <c r="H5" s="9" t="str">
        <f t="shared" si="0"/>
        <v>PASS</v>
      </c>
      <c r="I5" s="8" t="s">
        <v>168</v>
      </c>
      <c r="J5" s="8" t="s">
        <v>168</v>
      </c>
      <c r="K5" s="9" t="s">
        <v>242</v>
      </c>
      <c r="L5" s="8"/>
      <c r="M5" s="8" t="s">
        <v>239</v>
      </c>
    </row>
    <row r="6" spans="1:13" x14ac:dyDescent="0.3">
      <c r="A6" s="8" t="s">
        <v>245</v>
      </c>
      <c r="B6" s="8" t="s">
        <v>19</v>
      </c>
      <c r="C6" s="17" t="s">
        <v>246</v>
      </c>
      <c r="D6" s="9" t="s">
        <v>236</v>
      </c>
      <c r="E6" s="9" t="s">
        <v>236</v>
      </c>
      <c r="F6" s="9" t="s">
        <v>237</v>
      </c>
      <c r="G6" s="9" t="s">
        <v>237</v>
      </c>
      <c r="H6" s="9" t="str">
        <f t="shared" si="0"/>
        <v>PASS</v>
      </c>
      <c r="I6" s="8" t="s">
        <v>20</v>
      </c>
      <c r="J6" s="8" t="s">
        <v>238</v>
      </c>
      <c r="K6" s="9" t="s">
        <v>237</v>
      </c>
      <c r="L6" s="8"/>
      <c r="M6" s="8" t="s">
        <v>239</v>
      </c>
    </row>
    <row r="7" spans="1:13" x14ac:dyDescent="0.3">
      <c r="A7" s="8" t="s">
        <v>247</v>
      </c>
      <c r="B7" s="8" t="s">
        <v>19</v>
      </c>
      <c r="C7" s="17" t="s">
        <v>248</v>
      </c>
      <c r="D7" s="9" t="s">
        <v>236</v>
      </c>
      <c r="E7" s="9" t="s">
        <v>236</v>
      </c>
      <c r="F7" s="9" t="s">
        <v>242</v>
      </c>
      <c r="G7" s="9" t="s">
        <v>242</v>
      </c>
      <c r="H7" s="9" t="str">
        <f t="shared" si="0"/>
        <v>PASS</v>
      </c>
      <c r="I7" s="8" t="s">
        <v>168</v>
      </c>
      <c r="J7" s="8" t="s">
        <v>168</v>
      </c>
      <c r="K7" s="9" t="s">
        <v>242</v>
      </c>
      <c r="L7" s="8"/>
      <c r="M7" s="8" t="s">
        <v>239</v>
      </c>
    </row>
    <row r="8" spans="1:13" x14ac:dyDescent="0.3">
      <c r="A8" s="8" t="s">
        <v>249</v>
      </c>
      <c r="B8" s="8" t="s">
        <v>19</v>
      </c>
      <c r="C8" s="17" t="s">
        <v>250</v>
      </c>
      <c r="D8" s="9" t="s">
        <v>236</v>
      </c>
      <c r="E8" s="9" t="s">
        <v>236</v>
      </c>
      <c r="F8" s="9" t="s">
        <v>237</v>
      </c>
      <c r="G8" s="9" t="s">
        <v>237</v>
      </c>
      <c r="H8" s="9" t="str">
        <f t="shared" si="0"/>
        <v>PASS</v>
      </c>
      <c r="I8" s="8" t="s">
        <v>20</v>
      </c>
      <c r="J8" s="8" t="s">
        <v>238</v>
      </c>
      <c r="K8" s="9" t="s">
        <v>237</v>
      </c>
      <c r="L8" s="8"/>
      <c r="M8" s="8" t="s">
        <v>239</v>
      </c>
    </row>
    <row r="9" spans="1:13" x14ac:dyDescent="0.3">
      <c r="A9" s="8" t="s">
        <v>251</v>
      </c>
      <c r="B9" s="8" t="s">
        <v>19</v>
      </c>
      <c r="C9" s="17" t="s">
        <v>252</v>
      </c>
      <c r="D9" s="9" t="s">
        <v>236</v>
      </c>
      <c r="E9" s="9" t="s">
        <v>236</v>
      </c>
      <c r="F9" s="9" t="s">
        <v>242</v>
      </c>
      <c r="G9" s="9" t="s">
        <v>242</v>
      </c>
      <c r="H9" s="9" t="str">
        <f t="shared" si="0"/>
        <v>PASS</v>
      </c>
      <c r="I9" s="8" t="s">
        <v>168</v>
      </c>
      <c r="J9" s="8" t="s">
        <v>168</v>
      </c>
      <c r="K9" s="9" t="s">
        <v>242</v>
      </c>
      <c r="L9" s="8"/>
      <c r="M9" s="8" t="s">
        <v>239</v>
      </c>
    </row>
    <row r="10" spans="1:13" x14ac:dyDescent="0.3">
      <c r="A10" s="8" t="s">
        <v>253</v>
      </c>
      <c r="B10" s="8" t="s">
        <v>19</v>
      </c>
      <c r="C10" s="17" t="s">
        <v>254</v>
      </c>
      <c r="D10" s="9" t="s">
        <v>236</v>
      </c>
      <c r="E10" s="9" t="s">
        <v>236</v>
      </c>
      <c r="F10" s="9" t="s">
        <v>237</v>
      </c>
      <c r="G10" s="9" t="s">
        <v>237</v>
      </c>
      <c r="H10" s="9" t="str">
        <f t="shared" si="0"/>
        <v>PASS</v>
      </c>
      <c r="I10" s="8" t="s">
        <v>20</v>
      </c>
      <c r="J10" s="8" t="s">
        <v>238</v>
      </c>
      <c r="K10" s="9" t="s">
        <v>237</v>
      </c>
      <c r="L10" s="8"/>
      <c r="M10" s="8" t="s">
        <v>239</v>
      </c>
    </row>
    <row r="11" spans="1:13" x14ac:dyDescent="0.3">
      <c r="A11" s="8" t="s">
        <v>255</v>
      </c>
      <c r="B11" s="8" t="s">
        <v>19</v>
      </c>
      <c r="C11" s="17" t="s">
        <v>256</v>
      </c>
      <c r="D11" s="9" t="s">
        <v>236</v>
      </c>
      <c r="E11" s="9" t="s">
        <v>236</v>
      </c>
      <c r="F11" s="9" t="s">
        <v>242</v>
      </c>
      <c r="G11" s="9" t="s">
        <v>242</v>
      </c>
      <c r="H11" s="9" t="str">
        <f t="shared" si="0"/>
        <v>PASS</v>
      </c>
      <c r="I11" s="8" t="s">
        <v>168</v>
      </c>
      <c r="J11" s="8" t="s">
        <v>168</v>
      </c>
      <c r="K11" s="9" t="s">
        <v>242</v>
      </c>
      <c r="L11" s="8"/>
      <c r="M11" s="8" t="s">
        <v>239</v>
      </c>
    </row>
    <row r="12" spans="1:13" x14ac:dyDescent="0.3">
      <c r="A12" s="8" t="s">
        <v>257</v>
      </c>
      <c r="B12" s="8" t="s">
        <v>19</v>
      </c>
      <c r="C12" s="17" t="s">
        <v>258</v>
      </c>
      <c r="D12" s="9" t="s">
        <v>236</v>
      </c>
      <c r="E12" s="9" t="s">
        <v>236</v>
      </c>
      <c r="F12" s="9" t="s">
        <v>237</v>
      </c>
      <c r="G12" s="9" t="s">
        <v>237</v>
      </c>
      <c r="H12" s="9" t="str">
        <f t="shared" si="0"/>
        <v>PASS</v>
      </c>
      <c r="I12" s="8" t="s">
        <v>20</v>
      </c>
      <c r="J12" s="8" t="s">
        <v>238</v>
      </c>
      <c r="K12" s="9" t="s">
        <v>237</v>
      </c>
      <c r="L12" s="8"/>
      <c r="M12" s="8" t="s">
        <v>239</v>
      </c>
    </row>
    <row r="13" spans="1:13" x14ac:dyDescent="0.3">
      <c r="A13" s="8" t="s">
        <v>259</v>
      </c>
      <c r="B13" s="8" t="s">
        <v>19</v>
      </c>
      <c r="C13" s="17" t="s">
        <v>260</v>
      </c>
      <c r="D13" s="9" t="s">
        <v>236</v>
      </c>
      <c r="E13" s="9" t="s">
        <v>236</v>
      </c>
      <c r="F13" s="9" t="s">
        <v>242</v>
      </c>
      <c r="G13" s="9" t="s">
        <v>242</v>
      </c>
      <c r="H13" s="9" t="str">
        <f t="shared" si="0"/>
        <v>PASS</v>
      </c>
      <c r="I13" s="8" t="s">
        <v>168</v>
      </c>
      <c r="J13" s="8" t="s">
        <v>168</v>
      </c>
      <c r="K13" s="9" t="s">
        <v>242</v>
      </c>
      <c r="L13" s="8"/>
      <c r="M13" s="8" t="s">
        <v>239</v>
      </c>
    </row>
    <row r="14" spans="1:13" x14ac:dyDescent="0.3">
      <c r="A14" s="8" t="s">
        <v>261</v>
      </c>
      <c r="B14" s="8" t="s">
        <v>19</v>
      </c>
      <c r="C14" s="17" t="s">
        <v>262</v>
      </c>
      <c r="D14" s="9" t="s">
        <v>236</v>
      </c>
      <c r="E14" s="9" t="s">
        <v>236</v>
      </c>
      <c r="F14" s="9" t="s">
        <v>237</v>
      </c>
      <c r="G14" s="9" t="s">
        <v>237</v>
      </c>
      <c r="H14" s="9" t="str">
        <f t="shared" si="0"/>
        <v>PASS</v>
      </c>
      <c r="I14" s="8" t="s">
        <v>20</v>
      </c>
      <c r="J14" s="8" t="s">
        <v>238</v>
      </c>
      <c r="K14" s="9" t="s">
        <v>237</v>
      </c>
      <c r="L14" s="8"/>
      <c r="M14" s="8" t="s">
        <v>239</v>
      </c>
    </row>
    <row r="15" spans="1:13" x14ac:dyDescent="0.3">
      <c r="A15" s="8" t="s">
        <v>263</v>
      </c>
      <c r="B15" s="8" t="s">
        <v>19</v>
      </c>
      <c r="C15" s="17" t="s">
        <v>264</v>
      </c>
      <c r="D15" s="9" t="s">
        <v>236</v>
      </c>
      <c r="E15" s="9" t="s">
        <v>236</v>
      </c>
      <c r="F15" s="9" t="s">
        <v>242</v>
      </c>
      <c r="G15" s="9" t="s">
        <v>242</v>
      </c>
      <c r="H15" s="9" t="str">
        <f t="shared" si="0"/>
        <v>PASS</v>
      </c>
      <c r="I15" s="8" t="s">
        <v>168</v>
      </c>
      <c r="J15" s="8" t="s">
        <v>168</v>
      </c>
      <c r="K15" s="9" t="s">
        <v>242</v>
      </c>
      <c r="L15" s="8"/>
      <c r="M15" s="8" t="s">
        <v>239</v>
      </c>
    </row>
    <row r="16" spans="1:13" x14ac:dyDescent="0.3">
      <c r="A16" s="8" t="s">
        <v>265</v>
      </c>
      <c r="B16" s="8" t="s">
        <v>19</v>
      </c>
      <c r="C16" s="17" t="s">
        <v>266</v>
      </c>
      <c r="D16" s="9" t="s">
        <v>236</v>
      </c>
      <c r="E16" s="9" t="s">
        <v>236</v>
      </c>
      <c r="F16" s="9" t="s">
        <v>237</v>
      </c>
      <c r="G16" s="9" t="s">
        <v>237</v>
      </c>
      <c r="H16" s="9" t="str">
        <f t="shared" si="0"/>
        <v>PASS</v>
      </c>
      <c r="I16" s="8" t="s">
        <v>20</v>
      </c>
      <c r="J16" s="8" t="s">
        <v>238</v>
      </c>
      <c r="K16" s="9" t="s">
        <v>237</v>
      </c>
      <c r="L16" s="8"/>
      <c r="M16" s="8" t="s">
        <v>239</v>
      </c>
    </row>
    <row r="17" spans="1:13" x14ac:dyDescent="0.3">
      <c r="A17" s="8" t="s">
        <v>267</v>
      </c>
      <c r="B17" s="8" t="s">
        <v>19</v>
      </c>
      <c r="C17" s="17" t="s">
        <v>268</v>
      </c>
      <c r="D17" s="9" t="s">
        <v>236</v>
      </c>
      <c r="E17" s="9" t="s">
        <v>236</v>
      </c>
      <c r="F17" s="9" t="s">
        <v>242</v>
      </c>
      <c r="G17" s="9" t="s">
        <v>242</v>
      </c>
      <c r="H17" s="9" t="str">
        <f t="shared" si="0"/>
        <v>PASS</v>
      </c>
      <c r="I17" s="8" t="s">
        <v>168</v>
      </c>
      <c r="J17" s="8" t="s">
        <v>168</v>
      </c>
      <c r="K17" s="9" t="s">
        <v>242</v>
      </c>
      <c r="L17" s="8"/>
      <c r="M17" s="8" t="s">
        <v>239</v>
      </c>
    </row>
    <row r="18" spans="1:13" ht="26.4" x14ac:dyDescent="0.3">
      <c r="A18" s="8" t="s">
        <v>269</v>
      </c>
      <c r="B18" s="8" t="s">
        <v>22</v>
      </c>
      <c r="C18" s="17" t="s">
        <v>270</v>
      </c>
      <c r="D18" s="9" t="s">
        <v>236</v>
      </c>
      <c r="E18" s="9" t="s">
        <v>236</v>
      </c>
      <c r="F18" s="9" t="s">
        <v>237</v>
      </c>
      <c r="G18" s="9" t="s">
        <v>237</v>
      </c>
      <c r="H18" s="9" t="str">
        <f t="shared" si="0"/>
        <v>PASS</v>
      </c>
      <c r="I18" s="8" t="s">
        <v>271</v>
      </c>
      <c r="J18" s="8" t="s">
        <v>272</v>
      </c>
      <c r="K18" s="9" t="s">
        <v>237</v>
      </c>
      <c r="L18" s="8"/>
      <c r="M18" s="8" t="s">
        <v>239</v>
      </c>
    </row>
    <row r="19" spans="1:13" x14ac:dyDescent="0.3">
      <c r="A19" s="8" t="s">
        <v>273</v>
      </c>
      <c r="B19" s="8" t="s">
        <v>22</v>
      </c>
      <c r="C19" s="17" t="s">
        <v>274</v>
      </c>
      <c r="D19" s="9" t="s">
        <v>275</v>
      </c>
      <c r="E19" s="9" t="s">
        <v>236</v>
      </c>
      <c r="F19" s="9" t="s">
        <v>242</v>
      </c>
      <c r="G19" s="9" t="s">
        <v>242</v>
      </c>
      <c r="H19" s="9" t="str">
        <f t="shared" si="0"/>
        <v>PASS</v>
      </c>
      <c r="I19" s="8" t="s">
        <v>168</v>
      </c>
      <c r="J19" s="8" t="s">
        <v>168</v>
      </c>
      <c r="K19" s="9" t="s">
        <v>242</v>
      </c>
      <c r="L19" s="8"/>
      <c r="M19" s="8" t="s">
        <v>239</v>
      </c>
    </row>
    <row r="20" spans="1:13" ht="26.4" x14ac:dyDescent="0.3">
      <c r="A20" s="8" t="s">
        <v>276</v>
      </c>
      <c r="B20" s="8" t="s">
        <v>22</v>
      </c>
      <c r="C20" s="17" t="s">
        <v>157</v>
      </c>
      <c r="D20" s="9" t="s">
        <v>236</v>
      </c>
      <c r="E20" s="9" t="s">
        <v>236</v>
      </c>
      <c r="F20" s="9" t="s">
        <v>237</v>
      </c>
      <c r="G20" s="9" t="s">
        <v>237</v>
      </c>
      <c r="H20" s="9" t="str">
        <f t="shared" si="0"/>
        <v>PASS</v>
      </c>
      <c r="I20" s="8" t="s">
        <v>271</v>
      </c>
      <c r="J20" s="8" t="s">
        <v>272</v>
      </c>
      <c r="K20" s="9" t="s">
        <v>237</v>
      </c>
      <c r="L20" s="8"/>
      <c r="M20" s="8" t="s">
        <v>239</v>
      </c>
    </row>
    <row r="21" spans="1:13" x14ac:dyDescent="0.3">
      <c r="A21" s="8" t="s">
        <v>277</v>
      </c>
      <c r="B21" s="8" t="s">
        <v>22</v>
      </c>
      <c r="C21" s="17" t="s">
        <v>158</v>
      </c>
      <c r="D21" s="9" t="s">
        <v>275</v>
      </c>
      <c r="E21" s="9" t="s">
        <v>236</v>
      </c>
      <c r="F21" s="9" t="s">
        <v>242</v>
      </c>
      <c r="G21" s="9" t="s">
        <v>242</v>
      </c>
      <c r="H21" s="9" t="str">
        <f t="shared" si="0"/>
        <v>PASS</v>
      </c>
      <c r="I21" s="8" t="s">
        <v>168</v>
      </c>
      <c r="J21" s="8" t="s">
        <v>168</v>
      </c>
      <c r="K21" s="9" t="s">
        <v>242</v>
      </c>
      <c r="L21" s="8"/>
      <c r="M21" s="8" t="s">
        <v>239</v>
      </c>
    </row>
    <row r="22" spans="1:13" ht="26.4" x14ac:dyDescent="0.3">
      <c r="A22" s="8" t="s">
        <v>278</v>
      </c>
      <c r="B22" s="8" t="s">
        <v>22</v>
      </c>
      <c r="C22" s="17" t="s">
        <v>279</v>
      </c>
      <c r="D22" s="9" t="s">
        <v>236</v>
      </c>
      <c r="E22" s="9" t="s">
        <v>236</v>
      </c>
      <c r="F22" s="9" t="s">
        <v>237</v>
      </c>
      <c r="G22" s="9" t="s">
        <v>237</v>
      </c>
      <c r="H22" s="9" t="str">
        <f t="shared" si="0"/>
        <v>PASS</v>
      </c>
      <c r="I22" s="8" t="s">
        <v>271</v>
      </c>
      <c r="J22" s="8" t="s">
        <v>272</v>
      </c>
      <c r="K22" s="9" t="s">
        <v>237</v>
      </c>
      <c r="L22" s="8"/>
      <c r="M22" s="8" t="s">
        <v>239</v>
      </c>
    </row>
    <row r="23" spans="1:13" x14ac:dyDescent="0.3">
      <c r="A23" s="8" t="s">
        <v>280</v>
      </c>
      <c r="B23" s="8" t="s">
        <v>22</v>
      </c>
      <c r="C23" s="17" t="s">
        <v>281</v>
      </c>
      <c r="D23" s="9" t="s">
        <v>275</v>
      </c>
      <c r="E23" s="9" t="s">
        <v>236</v>
      </c>
      <c r="F23" s="9" t="s">
        <v>242</v>
      </c>
      <c r="G23" s="9" t="s">
        <v>242</v>
      </c>
      <c r="H23" s="9" t="str">
        <f t="shared" si="0"/>
        <v>PASS</v>
      </c>
      <c r="I23" s="8" t="s">
        <v>168</v>
      </c>
      <c r="J23" s="8" t="s">
        <v>168</v>
      </c>
      <c r="K23" s="9" t="s">
        <v>242</v>
      </c>
      <c r="L23" s="8"/>
      <c r="M23" s="8" t="s">
        <v>239</v>
      </c>
    </row>
    <row r="24" spans="1:13" ht="26.4" x14ac:dyDescent="0.3">
      <c r="A24" s="8" t="s">
        <v>282</v>
      </c>
      <c r="B24" s="8" t="s">
        <v>22</v>
      </c>
      <c r="C24" s="17" t="s">
        <v>283</v>
      </c>
      <c r="D24" s="9" t="s">
        <v>236</v>
      </c>
      <c r="E24" s="9" t="s">
        <v>236</v>
      </c>
      <c r="F24" s="9" t="s">
        <v>237</v>
      </c>
      <c r="G24" s="9" t="s">
        <v>237</v>
      </c>
      <c r="H24" s="9" t="str">
        <f t="shared" si="0"/>
        <v>PASS</v>
      </c>
      <c r="I24" s="8" t="s">
        <v>271</v>
      </c>
      <c r="J24" s="8" t="s">
        <v>272</v>
      </c>
      <c r="K24" s="9" t="s">
        <v>237</v>
      </c>
      <c r="L24" s="8"/>
      <c r="M24" s="8" t="s">
        <v>239</v>
      </c>
    </row>
    <row r="25" spans="1:13" x14ac:dyDescent="0.3">
      <c r="A25" s="8" t="s">
        <v>284</v>
      </c>
      <c r="B25" s="8" t="s">
        <v>22</v>
      </c>
      <c r="C25" s="17" t="s">
        <v>285</v>
      </c>
      <c r="D25" s="9" t="s">
        <v>275</v>
      </c>
      <c r="E25" s="9" t="s">
        <v>236</v>
      </c>
      <c r="F25" s="9" t="s">
        <v>242</v>
      </c>
      <c r="G25" s="9" t="s">
        <v>242</v>
      </c>
      <c r="H25" s="9" t="str">
        <f t="shared" si="0"/>
        <v>PASS</v>
      </c>
      <c r="I25" s="8" t="s">
        <v>168</v>
      </c>
      <c r="J25" s="8" t="s">
        <v>168</v>
      </c>
      <c r="K25" s="9" t="s">
        <v>242</v>
      </c>
      <c r="L25" s="8"/>
      <c r="M25" s="8" t="s">
        <v>239</v>
      </c>
    </row>
    <row r="26" spans="1:13" ht="26.4" x14ac:dyDescent="0.3">
      <c r="A26" s="8" t="s">
        <v>286</v>
      </c>
      <c r="B26" s="8" t="s">
        <v>22</v>
      </c>
      <c r="C26" s="17" t="s">
        <v>287</v>
      </c>
      <c r="D26" s="9" t="s">
        <v>236</v>
      </c>
      <c r="E26" s="9" t="s">
        <v>236</v>
      </c>
      <c r="F26" s="9" t="s">
        <v>237</v>
      </c>
      <c r="G26" s="9" t="s">
        <v>237</v>
      </c>
      <c r="H26" s="9" t="str">
        <f t="shared" si="0"/>
        <v>PASS</v>
      </c>
      <c r="I26" s="8" t="s">
        <v>271</v>
      </c>
      <c r="J26" s="8" t="s">
        <v>272</v>
      </c>
      <c r="K26" s="9" t="s">
        <v>237</v>
      </c>
      <c r="L26" s="8"/>
      <c r="M26" s="8" t="s">
        <v>239</v>
      </c>
    </row>
    <row r="27" spans="1:13" x14ac:dyDescent="0.3">
      <c r="A27" s="8" t="s">
        <v>288</v>
      </c>
      <c r="B27" s="8" t="s">
        <v>22</v>
      </c>
      <c r="C27" s="17" t="s">
        <v>289</v>
      </c>
      <c r="D27" s="9" t="s">
        <v>275</v>
      </c>
      <c r="E27" s="9" t="s">
        <v>236</v>
      </c>
      <c r="F27" s="9" t="s">
        <v>242</v>
      </c>
      <c r="G27" s="9" t="s">
        <v>242</v>
      </c>
      <c r="H27" s="9" t="str">
        <f t="shared" si="0"/>
        <v>PASS</v>
      </c>
      <c r="I27" s="8" t="s">
        <v>168</v>
      </c>
      <c r="J27" s="8" t="s">
        <v>168</v>
      </c>
      <c r="K27" s="9" t="s">
        <v>242</v>
      </c>
      <c r="L27" s="8"/>
      <c r="M27" s="8" t="s">
        <v>239</v>
      </c>
    </row>
    <row r="28" spans="1:13" ht="26.4" x14ac:dyDescent="0.3">
      <c r="A28" s="8" t="s">
        <v>290</v>
      </c>
      <c r="B28" s="8" t="s">
        <v>22</v>
      </c>
      <c r="C28" s="17" t="s">
        <v>291</v>
      </c>
      <c r="D28" s="9" t="s">
        <v>236</v>
      </c>
      <c r="E28" s="9" t="s">
        <v>236</v>
      </c>
      <c r="F28" s="9" t="s">
        <v>237</v>
      </c>
      <c r="G28" s="9" t="s">
        <v>237</v>
      </c>
      <c r="H28" s="9" t="str">
        <f t="shared" si="0"/>
        <v>PASS</v>
      </c>
      <c r="I28" s="8" t="s">
        <v>271</v>
      </c>
      <c r="J28" s="8" t="s">
        <v>272</v>
      </c>
      <c r="K28" s="9" t="s">
        <v>237</v>
      </c>
      <c r="L28" s="8"/>
      <c r="M28" s="8" t="s">
        <v>239</v>
      </c>
    </row>
    <row r="29" spans="1:13" x14ac:dyDescent="0.3">
      <c r="A29" s="8" t="s">
        <v>292</v>
      </c>
      <c r="B29" s="8" t="s">
        <v>22</v>
      </c>
      <c r="C29" s="17" t="s">
        <v>293</v>
      </c>
      <c r="D29" s="9" t="s">
        <v>275</v>
      </c>
      <c r="E29" s="9" t="s">
        <v>236</v>
      </c>
      <c r="F29" s="9" t="s">
        <v>242</v>
      </c>
      <c r="G29" s="9" t="s">
        <v>242</v>
      </c>
      <c r="H29" s="9" t="str">
        <f t="shared" si="0"/>
        <v>PASS</v>
      </c>
      <c r="I29" s="8" t="s">
        <v>168</v>
      </c>
      <c r="J29" s="8" t="s">
        <v>168</v>
      </c>
      <c r="K29" s="9" t="s">
        <v>242</v>
      </c>
      <c r="L29" s="8"/>
      <c r="M29" s="8" t="s">
        <v>239</v>
      </c>
    </row>
    <row r="30" spans="1:13" ht="26.4" x14ac:dyDescent="0.3">
      <c r="A30" s="8" t="s">
        <v>294</v>
      </c>
      <c r="B30" s="8" t="s">
        <v>22</v>
      </c>
      <c r="C30" s="17" t="s">
        <v>295</v>
      </c>
      <c r="D30" s="9" t="s">
        <v>236</v>
      </c>
      <c r="E30" s="9" t="s">
        <v>236</v>
      </c>
      <c r="F30" s="9" t="s">
        <v>237</v>
      </c>
      <c r="G30" s="9" t="s">
        <v>237</v>
      </c>
      <c r="H30" s="9" t="str">
        <f t="shared" si="0"/>
        <v>PASS</v>
      </c>
      <c r="I30" s="8" t="s">
        <v>271</v>
      </c>
      <c r="J30" s="8" t="s">
        <v>272</v>
      </c>
      <c r="K30" s="9" t="s">
        <v>237</v>
      </c>
      <c r="L30" s="8"/>
      <c r="M30" s="8" t="s">
        <v>239</v>
      </c>
    </row>
    <row r="31" spans="1:13" x14ac:dyDescent="0.3">
      <c r="A31" s="8" t="s">
        <v>296</v>
      </c>
      <c r="B31" s="8" t="s">
        <v>22</v>
      </c>
      <c r="C31" s="17" t="s">
        <v>297</v>
      </c>
      <c r="D31" s="9" t="s">
        <v>275</v>
      </c>
      <c r="E31" s="9" t="s">
        <v>236</v>
      </c>
      <c r="F31" s="9" t="s">
        <v>242</v>
      </c>
      <c r="G31" s="9" t="s">
        <v>242</v>
      </c>
      <c r="H31" s="9" t="str">
        <f t="shared" si="0"/>
        <v>PASS</v>
      </c>
      <c r="I31" s="8" t="s">
        <v>168</v>
      </c>
      <c r="J31" s="8" t="s">
        <v>168</v>
      </c>
      <c r="K31" s="9" t="s">
        <v>242</v>
      </c>
      <c r="L31" s="8"/>
      <c r="M31" s="8" t="s">
        <v>239</v>
      </c>
    </row>
    <row r="32" spans="1:13" ht="26.4" x14ac:dyDescent="0.3">
      <c r="A32" s="8" t="s">
        <v>298</v>
      </c>
      <c r="B32" s="8" t="s">
        <v>22</v>
      </c>
      <c r="C32" s="17" t="s">
        <v>299</v>
      </c>
      <c r="D32" s="9" t="s">
        <v>236</v>
      </c>
      <c r="E32" s="9" t="s">
        <v>236</v>
      </c>
      <c r="F32" s="9" t="s">
        <v>237</v>
      </c>
      <c r="G32" s="9" t="s">
        <v>237</v>
      </c>
      <c r="H32" s="9" t="str">
        <f t="shared" si="0"/>
        <v>PASS</v>
      </c>
      <c r="I32" s="8" t="s">
        <v>271</v>
      </c>
      <c r="J32" s="8" t="s">
        <v>272</v>
      </c>
      <c r="K32" s="9" t="s">
        <v>237</v>
      </c>
      <c r="L32" s="8"/>
      <c r="M32" s="8" t="s">
        <v>239</v>
      </c>
    </row>
    <row r="33" spans="1:13" x14ac:dyDescent="0.3">
      <c r="A33" s="8" t="s">
        <v>300</v>
      </c>
      <c r="B33" s="8" t="s">
        <v>22</v>
      </c>
      <c r="C33" s="17" t="s">
        <v>301</v>
      </c>
      <c r="D33" s="9" t="s">
        <v>275</v>
      </c>
      <c r="E33" s="9" t="s">
        <v>236</v>
      </c>
      <c r="F33" s="9" t="s">
        <v>242</v>
      </c>
      <c r="G33" s="9" t="s">
        <v>242</v>
      </c>
      <c r="H33" s="9" t="str">
        <f t="shared" si="0"/>
        <v>PASS</v>
      </c>
      <c r="I33" s="8" t="s">
        <v>168</v>
      </c>
      <c r="J33" s="8" t="s">
        <v>168</v>
      </c>
      <c r="K33" s="9" t="s">
        <v>242</v>
      </c>
      <c r="L33" s="8"/>
      <c r="M33" s="8" t="s">
        <v>239</v>
      </c>
    </row>
    <row r="34" spans="1:13" x14ac:dyDescent="0.3">
      <c r="A34" s="8" t="s">
        <v>302</v>
      </c>
      <c r="B34" s="8" t="s">
        <v>25</v>
      </c>
      <c r="C34" s="17" t="s">
        <v>303</v>
      </c>
      <c r="D34" s="9" t="s">
        <v>236</v>
      </c>
      <c r="E34" s="9" t="s">
        <v>236</v>
      </c>
      <c r="F34" s="9" t="s">
        <v>237</v>
      </c>
      <c r="G34" s="9" t="s">
        <v>237</v>
      </c>
      <c r="H34" s="9" t="str">
        <f t="shared" si="0"/>
        <v>PASS</v>
      </c>
      <c r="I34" s="8" t="s">
        <v>20</v>
      </c>
      <c r="J34" s="8" t="s">
        <v>304</v>
      </c>
      <c r="K34" s="9" t="s">
        <v>237</v>
      </c>
      <c r="L34" s="8"/>
      <c r="M34" s="8" t="s">
        <v>239</v>
      </c>
    </row>
    <row r="35" spans="1:13" x14ac:dyDescent="0.3">
      <c r="A35" s="8" t="s">
        <v>305</v>
      </c>
      <c r="B35" s="8" t="s">
        <v>25</v>
      </c>
      <c r="C35" s="17" t="s">
        <v>306</v>
      </c>
      <c r="D35" s="9" t="s">
        <v>236</v>
      </c>
      <c r="E35" s="9" t="s">
        <v>236</v>
      </c>
      <c r="F35" s="9" t="s">
        <v>242</v>
      </c>
      <c r="G35" s="9" t="s">
        <v>242</v>
      </c>
      <c r="H35" s="9" t="str">
        <f t="shared" si="0"/>
        <v>PASS</v>
      </c>
      <c r="I35" s="8" t="s">
        <v>168</v>
      </c>
      <c r="J35" s="8" t="s">
        <v>168</v>
      </c>
      <c r="K35" s="9" t="s">
        <v>242</v>
      </c>
      <c r="L35" s="8"/>
      <c r="M35" s="8" t="s">
        <v>239</v>
      </c>
    </row>
    <row r="36" spans="1:13" x14ac:dyDescent="0.3">
      <c r="A36" s="8" t="s">
        <v>307</v>
      </c>
      <c r="B36" s="8" t="s">
        <v>25</v>
      </c>
      <c r="C36" s="17" t="s">
        <v>308</v>
      </c>
      <c r="D36" s="9" t="s">
        <v>236</v>
      </c>
      <c r="E36" s="9" t="s">
        <v>236</v>
      </c>
      <c r="F36" s="9" t="s">
        <v>237</v>
      </c>
      <c r="G36" s="9" t="s">
        <v>237</v>
      </c>
      <c r="H36" s="9" t="str">
        <f t="shared" si="0"/>
        <v>PASS</v>
      </c>
      <c r="I36" s="8" t="s">
        <v>20</v>
      </c>
      <c r="J36" s="8" t="s">
        <v>304</v>
      </c>
      <c r="K36" s="9" t="s">
        <v>237</v>
      </c>
      <c r="L36" s="8"/>
      <c r="M36" s="8" t="s">
        <v>239</v>
      </c>
    </row>
    <row r="37" spans="1:13" x14ac:dyDescent="0.3">
      <c r="A37" s="8" t="s">
        <v>309</v>
      </c>
      <c r="B37" s="8" t="s">
        <v>25</v>
      </c>
      <c r="C37" s="17" t="s">
        <v>310</v>
      </c>
      <c r="D37" s="9" t="s">
        <v>236</v>
      </c>
      <c r="E37" s="9" t="s">
        <v>236</v>
      </c>
      <c r="F37" s="9" t="s">
        <v>242</v>
      </c>
      <c r="G37" s="9" t="s">
        <v>242</v>
      </c>
      <c r="H37" s="9" t="str">
        <f t="shared" si="0"/>
        <v>PASS</v>
      </c>
      <c r="I37" s="8" t="s">
        <v>168</v>
      </c>
      <c r="J37" s="8" t="s">
        <v>168</v>
      </c>
      <c r="K37" s="9" t="s">
        <v>242</v>
      </c>
      <c r="L37" s="8"/>
      <c r="M37" s="8" t="s">
        <v>239</v>
      </c>
    </row>
    <row r="38" spans="1:13" x14ac:dyDescent="0.3">
      <c r="A38" s="8" t="s">
        <v>311</v>
      </c>
      <c r="B38" s="8" t="s">
        <v>25</v>
      </c>
      <c r="C38" s="17" t="s">
        <v>312</v>
      </c>
      <c r="D38" s="9" t="s">
        <v>236</v>
      </c>
      <c r="E38" s="9" t="s">
        <v>236</v>
      </c>
      <c r="F38" s="9" t="s">
        <v>237</v>
      </c>
      <c r="G38" s="9" t="s">
        <v>237</v>
      </c>
      <c r="H38" s="9" t="str">
        <f t="shared" si="0"/>
        <v>PASS</v>
      </c>
      <c r="I38" s="8" t="s">
        <v>20</v>
      </c>
      <c r="J38" s="8" t="s">
        <v>304</v>
      </c>
      <c r="K38" s="9" t="s">
        <v>237</v>
      </c>
      <c r="L38" s="8"/>
      <c r="M38" s="8" t="s">
        <v>239</v>
      </c>
    </row>
    <row r="39" spans="1:13" x14ac:dyDescent="0.3">
      <c r="A39" s="8" t="s">
        <v>313</v>
      </c>
      <c r="B39" s="8" t="s">
        <v>25</v>
      </c>
      <c r="C39" s="17" t="s">
        <v>314</v>
      </c>
      <c r="D39" s="9" t="s">
        <v>236</v>
      </c>
      <c r="E39" s="9" t="s">
        <v>236</v>
      </c>
      <c r="F39" s="9" t="s">
        <v>242</v>
      </c>
      <c r="G39" s="9" t="s">
        <v>242</v>
      </c>
      <c r="H39" s="9" t="str">
        <f t="shared" si="0"/>
        <v>PASS</v>
      </c>
      <c r="I39" s="8" t="s">
        <v>168</v>
      </c>
      <c r="J39" s="8" t="s">
        <v>168</v>
      </c>
      <c r="K39" s="9" t="s">
        <v>242</v>
      </c>
      <c r="L39" s="8"/>
      <c r="M39" s="8" t="s">
        <v>239</v>
      </c>
    </row>
    <row r="40" spans="1:13" x14ac:dyDescent="0.3">
      <c r="A40" s="8" t="s">
        <v>315</v>
      </c>
      <c r="B40" s="8" t="s">
        <v>25</v>
      </c>
      <c r="C40" s="17" t="s">
        <v>316</v>
      </c>
      <c r="D40" s="9" t="s">
        <v>236</v>
      </c>
      <c r="E40" s="9" t="s">
        <v>236</v>
      </c>
      <c r="F40" s="9" t="s">
        <v>237</v>
      </c>
      <c r="G40" s="9" t="s">
        <v>237</v>
      </c>
      <c r="H40" s="9" t="str">
        <f t="shared" si="0"/>
        <v>PASS</v>
      </c>
      <c r="I40" s="8" t="s">
        <v>20</v>
      </c>
      <c r="J40" s="8" t="s">
        <v>304</v>
      </c>
      <c r="K40" s="9" t="s">
        <v>237</v>
      </c>
      <c r="L40" s="8"/>
      <c r="M40" s="8" t="s">
        <v>239</v>
      </c>
    </row>
    <row r="41" spans="1:13" x14ac:dyDescent="0.3">
      <c r="A41" s="8" t="s">
        <v>317</v>
      </c>
      <c r="B41" s="8" t="s">
        <v>25</v>
      </c>
      <c r="C41" s="17" t="s">
        <v>318</v>
      </c>
      <c r="D41" s="9" t="s">
        <v>236</v>
      </c>
      <c r="E41" s="9" t="s">
        <v>236</v>
      </c>
      <c r="F41" s="9" t="s">
        <v>242</v>
      </c>
      <c r="G41" s="9" t="s">
        <v>242</v>
      </c>
      <c r="H41" s="9" t="str">
        <f t="shared" si="0"/>
        <v>PASS</v>
      </c>
      <c r="I41" s="8" t="s">
        <v>168</v>
      </c>
      <c r="J41" s="8" t="s">
        <v>168</v>
      </c>
      <c r="K41" s="9" t="s">
        <v>242</v>
      </c>
      <c r="L41" s="8"/>
      <c r="M41" s="8" t="s">
        <v>239</v>
      </c>
    </row>
    <row r="42" spans="1:13" x14ac:dyDescent="0.3">
      <c r="A42" s="8" t="s">
        <v>319</v>
      </c>
      <c r="B42" s="8" t="s">
        <v>25</v>
      </c>
      <c r="C42" s="17" t="s">
        <v>320</v>
      </c>
      <c r="D42" s="9" t="s">
        <v>236</v>
      </c>
      <c r="E42" s="9" t="s">
        <v>236</v>
      </c>
      <c r="F42" s="9" t="s">
        <v>237</v>
      </c>
      <c r="G42" s="9" t="s">
        <v>237</v>
      </c>
      <c r="H42" s="9" t="str">
        <f t="shared" si="0"/>
        <v>PASS</v>
      </c>
      <c r="I42" s="8" t="s">
        <v>20</v>
      </c>
      <c r="J42" s="8" t="s">
        <v>304</v>
      </c>
      <c r="K42" s="9" t="s">
        <v>237</v>
      </c>
      <c r="L42" s="8"/>
      <c r="M42" s="8" t="s">
        <v>239</v>
      </c>
    </row>
    <row r="43" spans="1:13" x14ac:dyDescent="0.3">
      <c r="A43" s="8" t="s">
        <v>321</v>
      </c>
      <c r="B43" s="8" t="s">
        <v>25</v>
      </c>
      <c r="C43" s="17" t="s">
        <v>322</v>
      </c>
      <c r="D43" s="9" t="s">
        <v>236</v>
      </c>
      <c r="E43" s="9" t="s">
        <v>236</v>
      </c>
      <c r="F43" s="9" t="s">
        <v>242</v>
      </c>
      <c r="G43" s="9" t="s">
        <v>242</v>
      </c>
      <c r="H43" s="9" t="str">
        <f t="shared" si="0"/>
        <v>PASS</v>
      </c>
      <c r="I43" s="8" t="s">
        <v>168</v>
      </c>
      <c r="J43" s="8" t="s">
        <v>168</v>
      </c>
      <c r="K43" s="9" t="s">
        <v>242</v>
      </c>
      <c r="L43" s="8"/>
      <c r="M43" s="8" t="s">
        <v>239</v>
      </c>
    </row>
    <row r="44" spans="1:13" x14ac:dyDescent="0.3">
      <c r="A44" s="8" t="s">
        <v>323</v>
      </c>
      <c r="B44" s="8" t="s">
        <v>25</v>
      </c>
      <c r="C44" s="17" t="s">
        <v>324</v>
      </c>
      <c r="D44" s="9" t="s">
        <v>236</v>
      </c>
      <c r="E44" s="9" t="s">
        <v>236</v>
      </c>
      <c r="F44" s="9" t="s">
        <v>237</v>
      </c>
      <c r="G44" s="9" t="s">
        <v>237</v>
      </c>
      <c r="H44" s="9" t="str">
        <f t="shared" si="0"/>
        <v>PASS</v>
      </c>
      <c r="I44" s="8" t="s">
        <v>20</v>
      </c>
      <c r="J44" s="8" t="s">
        <v>304</v>
      </c>
      <c r="K44" s="9" t="s">
        <v>237</v>
      </c>
      <c r="L44" s="8"/>
      <c r="M44" s="8" t="s">
        <v>239</v>
      </c>
    </row>
    <row r="45" spans="1:13" x14ac:dyDescent="0.3">
      <c r="A45" s="8" t="s">
        <v>325</v>
      </c>
      <c r="B45" s="8" t="s">
        <v>25</v>
      </c>
      <c r="C45" s="17" t="s">
        <v>326</v>
      </c>
      <c r="D45" s="9" t="s">
        <v>236</v>
      </c>
      <c r="E45" s="9" t="s">
        <v>236</v>
      </c>
      <c r="F45" s="9" t="s">
        <v>242</v>
      </c>
      <c r="G45" s="9" t="s">
        <v>242</v>
      </c>
      <c r="H45" s="9" t="str">
        <f t="shared" si="0"/>
        <v>PASS</v>
      </c>
      <c r="I45" s="8" t="s">
        <v>168</v>
      </c>
      <c r="J45" s="8" t="s">
        <v>168</v>
      </c>
      <c r="K45" s="9" t="s">
        <v>242</v>
      </c>
      <c r="L45" s="8"/>
      <c r="M45" s="8" t="s">
        <v>239</v>
      </c>
    </row>
    <row r="46" spans="1:13" ht="26.4" x14ac:dyDescent="0.3">
      <c r="A46" s="8" t="s">
        <v>327</v>
      </c>
      <c r="B46" s="8" t="s">
        <v>27</v>
      </c>
      <c r="C46" s="17" t="s">
        <v>328</v>
      </c>
      <c r="D46" s="9" t="s">
        <v>236</v>
      </c>
      <c r="E46" s="9" t="s">
        <v>236</v>
      </c>
      <c r="F46" s="9" t="s">
        <v>237</v>
      </c>
      <c r="G46" s="9" t="s">
        <v>237</v>
      </c>
      <c r="H46" s="9" t="str">
        <f t="shared" si="0"/>
        <v>PASS</v>
      </c>
      <c r="I46" s="8" t="s">
        <v>329</v>
      </c>
      <c r="J46" s="8" t="s">
        <v>330</v>
      </c>
      <c r="K46" s="9" t="s">
        <v>237</v>
      </c>
      <c r="L46" s="8"/>
      <c r="M46" s="8" t="s">
        <v>239</v>
      </c>
    </row>
    <row r="47" spans="1:13" x14ac:dyDescent="0.3">
      <c r="A47" s="8" t="s">
        <v>331</v>
      </c>
      <c r="B47" s="8" t="s">
        <v>27</v>
      </c>
      <c r="C47" s="17" t="s">
        <v>332</v>
      </c>
      <c r="D47" s="9" t="s">
        <v>275</v>
      </c>
      <c r="E47" s="9" t="s">
        <v>236</v>
      </c>
      <c r="F47" s="9" t="s">
        <v>242</v>
      </c>
      <c r="G47" s="9" t="s">
        <v>242</v>
      </c>
      <c r="H47" s="9" t="str">
        <f t="shared" si="0"/>
        <v>PASS</v>
      </c>
      <c r="I47" s="8" t="s">
        <v>168</v>
      </c>
      <c r="J47" s="8" t="s">
        <v>168</v>
      </c>
      <c r="K47" s="9" t="s">
        <v>242</v>
      </c>
      <c r="L47" s="8"/>
      <c r="M47" s="8" t="s">
        <v>239</v>
      </c>
    </row>
    <row r="48" spans="1:13" ht="26.4" x14ac:dyDescent="0.3">
      <c r="A48" s="8" t="s">
        <v>333</v>
      </c>
      <c r="B48" s="8" t="s">
        <v>27</v>
      </c>
      <c r="C48" s="17" t="s">
        <v>334</v>
      </c>
      <c r="D48" s="9" t="s">
        <v>236</v>
      </c>
      <c r="E48" s="9" t="s">
        <v>236</v>
      </c>
      <c r="F48" s="9" t="s">
        <v>237</v>
      </c>
      <c r="G48" s="9" t="s">
        <v>237</v>
      </c>
      <c r="H48" s="9" t="str">
        <f t="shared" si="0"/>
        <v>PASS</v>
      </c>
      <c r="I48" s="8" t="s">
        <v>329</v>
      </c>
      <c r="J48" s="8" t="s">
        <v>330</v>
      </c>
      <c r="K48" s="9" t="s">
        <v>237</v>
      </c>
      <c r="L48" s="8"/>
      <c r="M48" s="8" t="s">
        <v>239</v>
      </c>
    </row>
    <row r="49" spans="1:13" x14ac:dyDescent="0.3">
      <c r="A49" s="8" t="s">
        <v>335</v>
      </c>
      <c r="B49" s="8" t="s">
        <v>27</v>
      </c>
      <c r="C49" s="17" t="s">
        <v>336</v>
      </c>
      <c r="D49" s="9" t="s">
        <v>275</v>
      </c>
      <c r="E49" s="9" t="s">
        <v>236</v>
      </c>
      <c r="F49" s="9" t="s">
        <v>242</v>
      </c>
      <c r="G49" s="9" t="s">
        <v>242</v>
      </c>
      <c r="H49" s="9" t="str">
        <f t="shared" si="0"/>
        <v>PASS</v>
      </c>
      <c r="I49" s="8" t="s">
        <v>168</v>
      </c>
      <c r="J49" s="8" t="s">
        <v>168</v>
      </c>
      <c r="K49" s="9" t="s">
        <v>242</v>
      </c>
      <c r="L49" s="8"/>
      <c r="M49" s="8" t="s">
        <v>239</v>
      </c>
    </row>
    <row r="50" spans="1:13" ht="26.4" x14ac:dyDescent="0.3">
      <c r="A50" s="8" t="s">
        <v>337</v>
      </c>
      <c r="B50" s="8" t="s">
        <v>27</v>
      </c>
      <c r="C50" s="17" t="s">
        <v>338</v>
      </c>
      <c r="D50" s="9" t="s">
        <v>236</v>
      </c>
      <c r="E50" s="9" t="s">
        <v>236</v>
      </c>
      <c r="F50" s="9" t="s">
        <v>237</v>
      </c>
      <c r="G50" s="9" t="s">
        <v>237</v>
      </c>
      <c r="H50" s="9" t="str">
        <f t="shared" si="0"/>
        <v>PASS</v>
      </c>
      <c r="I50" s="8" t="s">
        <v>329</v>
      </c>
      <c r="J50" s="8" t="s">
        <v>330</v>
      </c>
      <c r="K50" s="9" t="s">
        <v>237</v>
      </c>
      <c r="L50" s="8"/>
      <c r="M50" s="8" t="s">
        <v>239</v>
      </c>
    </row>
    <row r="51" spans="1:13" x14ac:dyDescent="0.3">
      <c r="A51" s="8" t="s">
        <v>339</v>
      </c>
      <c r="B51" s="8" t="s">
        <v>27</v>
      </c>
      <c r="C51" s="17" t="s">
        <v>340</v>
      </c>
      <c r="D51" s="9" t="s">
        <v>275</v>
      </c>
      <c r="E51" s="9" t="s">
        <v>236</v>
      </c>
      <c r="F51" s="9" t="s">
        <v>242</v>
      </c>
      <c r="G51" s="9" t="s">
        <v>242</v>
      </c>
      <c r="H51" s="9" t="str">
        <f t="shared" si="0"/>
        <v>PASS</v>
      </c>
      <c r="I51" s="8" t="s">
        <v>168</v>
      </c>
      <c r="J51" s="8" t="s">
        <v>168</v>
      </c>
      <c r="K51" s="9" t="s">
        <v>242</v>
      </c>
      <c r="L51" s="8"/>
      <c r="M51" s="8" t="s">
        <v>239</v>
      </c>
    </row>
    <row r="52" spans="1:13" ht="26.4" x14ac:dyDescent="0.3">
      <c r="A52" s="8" t="s">
        <v>341</v>
      </c>
      <c r="B52" s="8" t="s">
        <v>27</v>
      </c>
      <c r="C52" s="17" t="s">
        <v>342</v>
      </c>
      <c r="D52" s="9" t="s">
        <v>236</v>
      </c>
      <c r="E52" s="9" t="s">
        <v>236</v>
      </c>
      <c r="F52" s="9" t="s">
        <v>237</v>
      </c>
      <c r="G52" s="9" t="s">
        <v>237</v>
      </c>
      <c r="H52" s="9" t="str">
        <f t="shared" si="0"/>
        <v>PASS</v>
      </c>
      <c r="I52" s="8" t="s">
        <v>329</v>
      </c>
      <c r="J52" s="8" t="s">
        <v>330</v>
      </c>
      <c r="K52" s="9" t="s">
        <v>237</v>
      </c>
      <c r="L52" s="8"/>
      <c r="M52" s="8" t="s">
        <v>239</v>
      </c>
    </row>
    <row r="53" spans="1:13" x14ac:dyDescent="0.3">
      <c r="A53" s="8" t="s">
        <v>343</v>
      </c>
      <c r="B53" s="8" t="s">
        <v>27</v>
      </c>
      <c r="C53" s="17" t="s">
        <v>344</v>
      </c>
      <c r="D53" s="9" t="s">
        <v>275</v>
      </c>
      <c r="E53" s="9" t="s">
        <v>236</v>
      </c>
      <c r="F53" s="9" t="s">
        <v>242</v>
      </c>
      <c r="G53" s="9" t="s">
        <v>242</v>
      </c>
      <c r="H53" s="9" t="str">
        <f t="shared" si="0"/>
        <v>PASS</v>
      </c>
      <c r="I53" s="8" t="s">
        <v>168</v>
      </c>
      <c r="J53" s="8" t="s">
        <v>168</v>
      </c>
      <c r="K53" s="9" t="s">
        <v>242</v>
      </c>
      <c r="L53" s="8"/>
      <c r="M53" s="8" t="s">
        <v>239</v>
      </c>
    </row>
    <row r="54" spans="1:13" ht="26.4" x14ac:dyDescent="0.3">
      <c r="A54" s="8" t="s">
        <v>345</v>
      </c>
      <c r="B54" s="8" t="s">
        <v>27</v>
      </c>
      <c r="C54" s="17" t="s">
        <v>346</v>
      </c>
      <c r="D54" s="9" t="s">
        <v>236</v>
      </c>
      <c r="E54" s="9" t="s">
        <v>236</v>
      </c>
      <c r="F54" s="9" t="s">
        <v>237</v>
      </c>
      <c r="G54" s="9" t="s">
        <v>237</v>
      </c>
      <c r="H54" s="9" t="str">
        <f t="shared" si="0"/>
        <v>PASS</v>
      </c>
      <c r="I54" s="8" t="s">
        <v>329</v>
      </c>
      <c r="J54" s="8" t="s">
        <v>330</v>
      </c>
      <c r="K54" s="9" t="s">
        <v>237</v>
      </c>
      <c r="L54" s="8"/>
      <c r="M54" s="8" t="s">
        <v>239</v>
      </c>
    </row>
    <row r="55" spans="1:13" x14ac:dyDescent="0.3">
      <c r="A55" s="8" t="s">
        <v>347</v>
      </c>
      <c r="B55" s="8" t="s">
        <v>27</v>
      </c>
      <c r="C55" s="17" t="s">
        <v>348</v>
      </c>
      <c r="D55" s="9" t="s">
        <v>275</v>
      </c>
      <c r="E55" s="9" t="s">
        <v>236</v>
      </c>
      <c r="F55" s="9" t="s">
        <v>242</v>
      </c>
      <c r="G55" s="9" t="s">
        <v>242</v>
      </c>
      <c r="H55" s="9" t="str">
        <f t="shared" si="0"/>
        <v>PASS</v>
      </c>
      <c r="I55" s="8" t="s">
        <v>168</v>
      </c>
      <c r="J55" s="8" t="s">
        <v>168</v>
      </c>
      <c r="K55" s="9" t="s">
        <v>242</v>
      </c>
      <c r="L55" s="8"/>
      <c r="M55" s="8" t="s">
        <v>239</v>
      </c>
    </row>
    <row r="56" spans="1:13" ht="26.4" x14ac:dyDescent="0.3">
      <c r="A56" s="8" t="s">
        <v>349</v>
      </c>
      <c r="B56" s="8" t="s">
        <v>27</v>
      </c>
      <c r="C56" s="17" t="s">
        <v>350</v>
      </c>
      <c r="D56" s="9" t="s">
        <v>236</v>
      </c>
      <c r="E56" s="9" t="s">
        <v>236</v>
      </c>
      <c r="F56" s="9" t="s">
        <v>237</v>
      </c>
      <c r="G56" s="9" t="s">
        <v>237</v>
      </c>
      <c r="H56" s="9" t="str">
        <f t="shared" si="0"/>
        <v>PASS</v>
      </c>
      <c r="I56" s="8" t="s">
        <v>329</v>
      </c>
      <c r="J56" s="8" t="s">
        <v>330</v>
      </c>
      <c r="K56" s="9" t="s">
        <v>237</v>
      </c>
      <c r="L56" s="8"/>
      <c r="M56" s="8" t="s">
        <v>239</v>
      </c>
    </row>
    <row r="57" spans="1:13" x14ac:dyDescent="0.3">
      <c r="A57" s="8" t="s">
        <v>351</v>
      </c>
      <c r="B57" s="8" t="s">
        <v>27</v>
      </c>
      <c r="C57" s="17" t="s">
        <v>352</v>
      </c>
      <c r="D57" s="9" t="s">
        <v>275</v>
      </c>
      <c r="E57" s="9" t="s">
        <v>236</v>
      </c>
      <c r="F57" s="9" t="s">
        <v>242</v>
      </c>
      <c r="G57" s="9" t="s">
        <v>242</v>
      </c>
      <c r="H57" s="9" t="str">
        <f t="shared" si="0"/>
        <v>PASS</v>
      </c>
      <c r="I57" s="8" t="s">
        <v>168</v>
      </c>
      <c r="J57" s="8" t="s">
        <v>168</v>
      </c>
      <c r="K57" s="9" t="s">
        <v>242</v>
      </c>
      <c r="L57" s="8"/>
      <c r="M57" s="8" t="s">
        <v>239</v>
      </c>
    </row>
    <row r="58" spans="1:13" ht="26.4" x14ac:dyDescent="0.3">
      <c r="A58" s="8" t="s">
        <v>353</v>
      </c>
      <c r="B58" s="8" t="s">
        <v>27</v>
      </c>
      <c r="C58" s="17" t="s">
        <v>354</v>
      </c>
      <c r="D58" s="9" t="s">
        <v>236</v>
      </c>
      <c r="E58" s="9" t="s">
        <v>236</v>
      </c>
      <c r="F58" s="9" t="s">
        <v>237</v>
      </c>
      <c r="G58" s="9" t="s">
        <v>237</v>
      </c>
      <c r="H58" s="9" t="str">
        <f t="shared" si="0"/>
        <v>PASS</v>
      </c>
      <c r="I58" s="8" t="s">
        <v>329</v>
      </c>
      <c r="J58" s="8" t="s">
        <v>330</v>
      </c>
      <c r="K58" s="9" t="s">
        <v>237</v>
      </c>
      <c r="L58" s="8"/>
      <c r="M58" s="8" t="s">
        <v>239</v>
      </c>
    </row>
    <row r="59" spans="1:13" x14ac:dyDescent="0.3">
      <c r="A59" s="8" t="s">
        <v>355</v>
      </c>
      <c r="B59" s="8" t="s">
        <v>27</v>
      </c>
      <c r="C59" s="17" t="s">
        <v>356</v>
      </c>
      <c r="D59" s="9" t="s">
        <v>275</v>
      </c>
      <c r="E59" s="9" t="s">
        <v>236</v>
      </c>
      <c r="F59" s="9" t="s">
        <v>242</v>
      </c>
      <c r="G59" s="9" t="s">
        <v>242</v>
      </c>
      <c r="H59" s="9" t="str">
        <f t="shared" si="0"/>
        <v>PASS</v>
      </c>
      <c r="I59" s="8" t="s">
        <v>168</v>
      </c>
      <c r="J59" s="8" t="s">
        <v>168</v>
      </c>
      <c r="K59" s="9" t="s">
        <v>242</v>
      </c>
      <c r="L59" s="8"/>
      <c r="M59" s="8" t="s">
        <v>239</v>
      </c>
    </row>
    <row r="60" spans="1:13" ht="26.4" x14ac:dyDescent="0.3">
      <c r="A60" s="8" t="s">
        <v>357</v>
      </c>
      <c r="B60" s="8" t="s">
        <v>27</v>
      </c>
      <c r="C60" s="17" t="s">
        <v>358</v>
      </c>
      <c r="D60" s="9" t="s">
        <v>236</v>
      </c>
      <c r="E60" s="9" t="s">
        <v>236</v>
      </c>
      <c r="F60" s="9" t="s">
        <v>237</v>
      </c>
      <c r="G60" s="9" t="s">
        <v>237</v>
      </c>
      <c r="H60" s="9" t="str">
        <f t="shared" si="0"/>
        <v>PASS</v>
      </c>
      <c r="I60" s="8" t="s">
        <v>329</v>
      </c>
      <c r="J60" s="8" t="s">
        <v>330</v>
      </c>
      <c r="K60" s="9" t="s">
        <v>237</v>
      </c>
      <c r="L60" s="8"/>
      <c r="M60" s="8" t="s">
        <v>239</v>
      </c>
    </row>
    <row r="61" spans="1:13" x14ac:dyDescent="0.3">
      <c r="A61" s="8" t="s">
        <v>359</v>
      </c>
      <c r="B61" s="8" t="s">
        <v>27</v>
      </c>
      <c r="C61" s="17" t="s">
        <v>360</v>
      </c>
      <c r="D61" s="9" t="s">
        <v>275</v>
      </c>
      <c r="E61" s="9" t="s">
        <v>236</v>
      </c>
      <c r="F61" s="9" t="s">
        <v>242</v>
      </c>
      <c r="G61" s="9" t="s">
        <v>242</v>
      </c>
      <c r="H61" s="9" t="str">
        <f t="shared" si="0"/>
        <v>PASS</v>
      </c>
      <c r="I61" s="8" t="s">
        <v>168</v>
      </c>
      <c r="J61" s="8" t="s">
        <v>168</v>
      </c>
      <c r="K61" s="9" t="s">
        <v>242</v>
      </c>
      <c r="L61" s="8"/>
      <c r="M61" s="8" t="s">
        <v>239</v>
      </c>
    </row>
    <row r="62" spans="1:13" x14ac:dyDescent="0.3">
      <c r="A62" s="8" t="s">
        <v>361</v>
      </c>
      <c r="B62" s="8" t="s">
        <v>30</v>
      </c>
      <c r="C62" s="17" t="s">
        <v>362</v>
      </c>
      <c r="D62" s="9" t="s">
        <v>236</v>
      </c>
      <c r="E62" s="9" t="s">
        <v>236</v>
      </c>
      <c r="F62" s="9" t="s">
        <v>237</v>
      </c>
      <c r="G62" s="9" t="s">
        <v>237</v>
      </c>
      <c r="H62" s="9" t="str">
        <f t="shared" si="0"/>
        <v>PASS</v>
      </c>
      <c r="I62" s="8" t="s">
        <v>20</v>
      </c>
      <c r="J62" s="8" t="s">
        <v>363</v>
      </c>
      <c r="K62" s="9" t="s">
        <v>237</v>
      </c>
      <c r="L62" s="8"/>
      <c r="M62" s="8" t="s">
        <v>239</v>
      </c>
    </row>
    <row r="63" spans="1:13" x14ac:dyDescent="0.3">
      <c r="A63" s="8" t="s">
        <v>364</v>
      </c>
      <c r="B63" s="8" t="s">
        <v>30</v>
      </c>
      <c r="C63" s="17" t="s">
        <v>365</v>
      </c>
      <c r="D63" s="9" t="s">
        <v>236</v>
      </c>
      <c r="E63" s="9" t="s">
        <v>236</v>
      </c>
      <c r="F63" s="9" t="s">
        <v>242</v>
      </c>
      <c r="G63" s="9" t="s">
        <v>242</v>
      </c>
      <c r="H63" s="9" t="str">
        <f t="shared" si="0"/>
        <v>PASS</v>
      </c>
      <c r="I63" s="8" t="s">
        <v>168</v>
      </c>
      <c r="J63" s="8" t="s">
        <v>168</v>
      </c>
      <c r="K63" s="9" t="s">
        <v>242</v>
      </c>
      <c r="L63" s="8"/>
      <c r="M63" s="8" t="s">
        <v>239</v>
      </c>
    </row>
    <row r="64" spans="1:13" x14ac:dyDescent="0.3">
      <c r="A64" s="8" t="s">
        <v>366</v>
      </c>
      <c r="B64" s="8" t="s">
        <v>30</v>
      </c>
      <c r="C64" s="17" t="s">
        <v>367</v>
      </c>
      <c r="D64" s="9" t="s">
        <v>236</v>
      </c>
      <c r="E64" s="9" t="s">
        <v>236</v>
      </c>
      <c r="F64" s="9" t="s">
        <v>237</v>
      </c>
      <c r="G64" s="9" t="s">
        <v>237</v>
      </c>
      <c r="H64" s="9" t="str">
        <f t="shared" si="0"/>
        <v>PASS</v>
      </c>
      <c r="I64" s="8" t="s">
        <v>20</v>
      </c>
      <c r="J64" s="8" t="s">
        <v>363</v>
      </c>
      <c r="K64" s="9" t="s">
        <v>237</v>
      </c>
      <c r="L64" s="8"/>
      <c r="M64" s="8" t="s">
        <v>239</v>
      </c>
    </row>
    <row r="65" spans="1:13" x14ac:dyDescent="0.3">
      <c r="A65" s="8" t="s">
        <v>368</v>
      </c>
      <c r="B65" s="8" t="s">
        <v>30</v>
      </c>
      <c r="C65" s="17" t="s">
        <v>369</v>
      </c>
      <c r="D65" s="9" t="s">
        <v>236</v>
      </c>
      <c r="E65" s="9" t="s">
        <v>236</v>
      </c>
      <c r="F65" s="9" t="s">
        <v>242</v>
      </c>
      <c r="G65" s="9" t="s">
        <v>242</v>
      </c>
      <c r="H65" s="9" t="str">
        <f t="shared" si="0"/>
        <v>PASS</v>
      </c>
      <c r="I65" s="8" t="s">
        <v>168</v>
      </c>
      <c r="J65" s="8" t="s">
        <v>168</v>
      </c>
      <c r="K65" s="9" t="s">
        <v>242</v>
      </c>
      <c r="L65" s="8"/>
      <c r="M65" s="8" t="s">
        <v>239</v>
      </c>
    </row>
    <row r="66" spans="1:13" x14ac:dyDescent="0.3">
      <c r="A66" s="8" t="s">
        <v>370</v>
      </c>
      <c r="B66" s="8" t="s">
        <v>30</v>
      </c>
      <c r="C66" s="17" t="s">
        <v>371</v>
      </c>
      <c r="D66" s="9" t="s">
        <v>236</v>
      </c>
      <c r="E66" s="9" t="s">
        <v>236</v>
      </c>
      <c r="F66" s="9" t="s">
        <v>237</v>
      </c>
      <c r="G66" s="9" t="s">
        <v>237</v>
      </c>
      <c r="H66" s="9" t="str">
        <f t="shared" ref="H66:H129" si="1">IF(G66=F66,"PASS","FAIL")</f>
        <v>PASS</v>
      </c>
      <c r="I66" s="8" t="s">
        <v>20</v>
      </c>
      <c r="J66" s="8" t="s">
        <v>363</v>
      </c>
      <c r="K66" s="9" t="s">
        <v>237</v>
      </c>
      <c r="L66" s="8"/>
      <c r="M66" s="8" t="s">
        <v>239</v>
      </c>
    </row>
    <row r="67" spans="1:13" x14ac:dyDescent="0.3">
      <c r="A67" s="8" t="s">
        <v>372</v>
      </c>
      <c r="B67" s="8" t="s">
        <v>30</v>
      </c>
      <c r="C67" s="17" t="s">
        <v>373</v>
      </c>
      <c r="D67" s="9" t="s">
        <v>236</v>
      </c>
      <c r="E67" s="9" t="s">
        <v>236</v>
      </c>
      <c r="F67" s="9" t="s">
        <v>242</v>
      </c>
      <c r="G67" s="9" t="s">
        <v>242</v>
      </c>
      <c r="H67" s="9" t="str">
        <f t="shared" si="1"/>
        <v>PASS</v>
      </c>
      <c r="I67" s="8" t="s">
        <v>168</v>
      </c>
      <c r="J67" s="8" t="s">
        <v>168</v>
      </c>
      <c r="K67" s="9" t="s">
        <v>242</v>
      </c>
      <c r="L67" s="8"/>
      <c r="M67" s="8" t="s">
        <v>239</v>
      </c>
    </row>
    <row r="68" spans="1:13" x14ac:dyDescent="0.3">
      <c r="A68" s="8" t="s">
        <v>374</v>
      </c>
      <c r="B68" s="8" t="s">
        <v>30</v>
      </c>
      <c r="C68" s="17" t="s">
        <v>375</v>
      </c>
      <c r="D68" s="9" t="s">
        <v>236</v>
      </c>
      <c r="E68" s="9" t="s">
        <v>236</v>
      </c>
      <c r="F68" s="9" t="s">
        <v>237</v>
      </c>
      <c r="G68" s="9" t="s">
        <v>237</v>
      </c>
      <c r="H68" s="9" t="str">
        <f t="shared" si="1"/>
        <v>PASS</v>
      </c>
      <c r="I68" s="8" t="s">
        <v>20</v>
      </c>
      <c r="J68" s="8" t="s">
        <v>363</v>
      </c>
      <c r="K68" s="9" t="s">
        <v>237</v>
      </c>
      <c r="L68" s="8"/>
      <c r="M68" s="8" t="s">
        <v>239</v>
      </c>
    </row>
    <row r="69" spans="1:13" x14ac:dyDescent="0.3">
      <c r="A69" s="8" t="s">
        <v>376</v>
      </c>
      <c r="B69" s="8" t="s">
        <v>30</v>
      </c>
      <c r="C69" s="17" t="s">
        <v>377</v>
      </c>
      <c r="D69" s="9" t="s">
        <v>236</v>
      </c>
      <c r="E69" s="9" t="s">
        <v>236</v>
      </c>
      <c r="F69" s="9" t="s">
        <v>242</v>
      </c>
      <c r="G69" s="9" t="s">
        <v>242</v>
      </c>
      <c r="H69" s="9" t="str">
        <f t="shared" si="1"/>
        <v>PASS</v>
      </c>
      <c r="I69" s="8" t="s">
        <v>168</v>
      </c>
      <c r="J69" s="8" t="s">
        <v>168</v>
      </c>
      <c r="K69" s="9" t="s">
        <v>242</v>
      </c>
      <c r="L69" s="8"/>
      <c r="M69" s="8" t="s">
        <v>239</v>
      </c>
    </row>
    <row r="70" spans="1:13" x14ac:dyDescent="0.3">
      <c r="A70" s="8" t="s">
        <v>378</v>
      </c>
      <c r="B70" s="8" t="s">
        <v>30</v>
      </c>
      <c r="C70" s="17" t="s">
        <v>379</v>
      </c>
      <c r="D70" s="9" t="s">
        <v>236</v>
      </c>
      <c r="E70" s="9" t="s">
        <v>236</v>
      </c>
      <c r="F70" s="9" t="s">
        <v>237</v>
      </c>
      <c r="G70" s="9" t="s">
        <v>237</v>
      </c>
      <c r="H70" s="9" t="str">
        <f t="shared" si="1"/>
        <v>PASS</v>
      </c>
      <c r="I70" s="8" t="s">
        <v>20</v>
      </c>
      <c r="J70" s="8" t="s">
        <v>363</v>
      </c>
      <c r="K70" s="9" t="s">
        <v>237</v>
      </c>
      <c r="L70" s="8"/>
      <c r="M70" s="8" t="s">
        <v>239</v>
      </c>
    </row>
    <row r="71" spans="1:13" x14ac:dyDescent="0.3">
      <c r="A71" s="8" t="s">
        <v>380</v>
      </c>
      <c r="B71" s="8" t="s">
        <v>30</v>
      </c>
      <c r="C71" s="17" t="s">
        <v>381</v>
      </c>
      <c r="D71" s="9" t="s">
        <v>236</v>
      </c>
      <c r="E71" s="9" t="s">
        <v>236</v>
      </c>
      <c r="F71" s="9" t="s">
        <v>242</v>
      </c>
      <c r="G71" s="9" t="s">
        <v>242</v>
      </c>
      <c r="H71" s="9" t="str">
        <f t="shared" si="1"/>
        <v>PASS</v>
      </c>
      <c r="I71" s="8" t="s">
        <v>168</v>
      </c>
      <c r="J71" s="8" t="s">
        <v>168</v>
      </c>
      <c r="K71" s="9" t="s">
        <v>242</v>
      </c>
      <c r="L71" s="8"/>
      <c r="M71" s="8" t="s">
        <v>239</v>
      </c>
    </row>
    <row r="72" spans="1:13" x14ac:dyDescent="0.3">
      <c r="A72" s="8" t="s">
        <v>382</v>
      </c>
      <c r="B72" s="8" t="s">
        <v>32</v>
      </c>
      <c r="C72" s="17" t="s">
        <v>383</v>
      </c>
      <c r="D72" s="9" t="s">
        <v>236</v>
      </c>
      <c r="E72" s="9" t="s">
        <v>236</v>
      </c>
      <c r="F72" s="9" t="s">
        <v>237</v>
      </c>
      <c r="G72" s="9" t="s">
        <v>237</v>
      </c>
      <c r="H72" s="9" t="str">
        <f t="shared" si="1"/>
        <v>PASS</v>
      </c>
      <c r="I72" s="8" t="s">
        <v>20</v>
      </c>
      <c r="J72" s="8" t="s">
        <v>238</v>
      </c>
      <c r="K72" s="9" t="s">
        <v>237</v>
      </c>
      <c r="L72" s="8"/>
      <c r="M72" s="8" t="s">
        <v>239</v>
      </c>
    </row>
    <row r="73" spans="1:13" x14ac:dyDescent="0.3">
      <c r="A73" s="8" t="s">
        <v>384</v>
      </c>
      <c r="B73" s="8" t="s">
        <v>32</v>
      </c>
      <c r="C73" s="17" t="s">
        <v>385</v>
      </c>
      <c r="D73" s="9" t="s">
        <v>236</v>
      </c>
      <c r="E73" s="9" t="s">
        <v>236</v>
      </c>
      <c r="F73" s="9" t="s">
        <v>237</v>
      </c>
      <c r="G73" s="9" t="s">
        <v>237</v>
      </c>
      <c r="H73" s="9" t="str">
        <f t="shared" si="1"/>
        <v>PASS</v>
      </c>
      <c r="I73" s="8" t="s">
        <v>20</v>
      </c>
      <c r="J73" s="8" t="s">
        <v>238</v>
      </c>
      <c r="K73" s="9" t="s">
        <v>237</v>
      </c>
      <c r="L73" s="8"/>
      <c r="M73" s="8" t="s">
        <v>239</v>
      </c>
    </row>
    <row r="74" spans="1:13" x14ac:dyDescent="0.3">
      <c r="A74" s="8" t="s">
        <v>386</v>
      </c>
      <c r="B74" s="8" t="s">
        <v>32</v>
      </c>
      <c r="C74" s="17" t="s">
        <v>387</v>
      </c>
      <c r="D74" s="9" t="s">
        <v>236</v>
      </c>
      <c r="E74" s="9" t="s">
        <v>236</v>
      </c>
      <c r="F74" s="9" t="s">
        <v>237</v>
      </c>
      <c r="G74" s="9" t="s">
        <v>237</v>
      </c>
      <c r="H74" s="9" t="str">
        <f t="shared" si="1"/>
        <v>PASS</v>
      </c>
      <c r="I74" s="8" t="s">
        <v>20</v>
      </c>
      <c r="J74" s="8" t="s">
        <v>238</v>
      </c>
      <c r="K74" s="9" t="s">
        <v>237</v>
      </c>
      <c r="L74" s="8"/>
      <c r="M74" s="8" t="s">
        <v>239</v>
      </c>
    </row>
    <row r="75" spans="1:13" x14ac:dyDescent="0.3">
      <c r="A75" s="8" t="s">
        <v>388</v>
      </c>
      <c r="B75" s="8" t="s">
        <v>32</v>
      </c>
      <c r="C75" s="17" t="s">
        <v>389</v>
      </c>
      <c r="D75" s="9" t="s">
        <v>236</v>
      </c>
      <c r="E75" s="9" t="s">
        <v>236</v>
      </c>
      <c r="F75" s="9" t="s">
        <v>237</v>
      </c>
      <c r="G75" s="9" t="s">
        <v>237</v>
      </c>
      <c r="H75" s="9" t="str">
        <f t="shared" si="1"/>
        <v>PASS</v>
      </c>
      <c r="I75" s="8" t="s">
        <v>20</v>
      </c>
      <c r="J75" s="8" t="s">
        <v>238</v>
      </c>
      <c r="K75" s="9" t="s">
        <v>237</v>
      </c>
      <c r="L75" s="8"/>
      <c r="M75" s="8" t="s">
        <v>239</v>
      </c>
    </row>
    <row r="76" spans="1:13" x14ac:dyDescent="0.3">
      <c r="A76" s="8" t="s">
        <v>390</v>
      </c>
      <c r="B76" s="8" t="s">
        <v>32</v>
      </c>
      <c r="C76" s="17" t="s">
        <v>391</v>
      </c>
      <c r="D76" s="9" t="s">
        <v>236</v>
      </c>
      <c r="E76" s="9" t="s">
        <v>236</v>
      </c>
      <c r="F76" s="9" t="s">
        <v>237</v>
      </c>
      <c r="G76" s="9" t="s">
        <v>237</v>
      </c>
      <c r="H76" s="9" t="str">
        <f t="shared" si="1"/>
        <v>PASS</v>
      </c>
      <c r="I76" s="8" t="s">
        <v>20</v>
      </c>
      <c r="J76" s="8" t="s">
        <v>238</v>
      </c>
      <c r="K76" s="9" t="s">
        <v>237</v>
      </c>
      <c r="L76" s="8"/>
      <c r="M76" s="8" t="s">
        <v>239</v>
      </c>
    </row>
    <row r="77" spans="1:13" x14ac:dyDescent="0.3">
      <c r="A77" s="8" t="s">
        <v>392</v>
      </c>
      <c r="B77" s="8" t="s">
        <v>34</v>
      </c>
      <c r="C77" s="17" t="s">
        <v>393</v>
      </c>
      <c r="D77" s="9" t="s">
        <v>236</v>
      </c>
      <c r="E77" s="9" t="s">
        <v>236</v>
      </c>
      <c r="F77" s="9" t="s">
        <v>237</v>
      </c>
      <c r="G77" s="9" t="s">
        <v>237</v>
      </c>
      <c r="H77" s="9" t="str">
        <f t="shared" si="1"/>
        <v>PASS</v>
      </c>
      <c r="I77" s="8" t="s">
        <v>35</v>
      </c>
      <c r="J77" s="8" t="s">
        <v>394</v>
      </c>
      <c r="K77" s="9" t="s">
        <v>237</v>
      </c>
      <c r="L77" s="8"/>
      <c r="M77" s="8" t="s">
        <v>239</v>
      </c>
    </row>
    <row r="78" spans="1:13" x14ac:dyDescent="0.3">
      <c r="A78" s="8" t="s">
        <v>395</v>
      </c>
      <c r="B78" s="8" t="s">
        <v>34</v>
      </c>
      <c r="C78" s="17" t="s">
        <v>396</v>
      </c>
      <c r="D78" s="9" t="s">
        <v>236</v>
      </c>
      <c r="E78" s="9" t="s">
        <v>236</v>
      </c>
      <c r="F78" s="9" t="s">
        <v>237</v>
      </c>
      <c r="G78" s="9" t="s">
        <v>237</v>
      </c>
      <c r="H78" s="9" t="str">
        <f t="shared" si="1"/>
        <v>PASS</v>
      </c>
      <c r="I78" s="8" t="s">
        <v>35</v>
      </c>
      <c r="J78" s="8" t="s">
        <v>394</v>
      </c>
      <c r="K78" s="9" t="s">
        <v>237</v>
      </c>
      <c r="L78" s="8"/>
      <c r="M78" s="8" t="s">
        <v>239</v>
      </c>
    </row>
    <row r="79" spans="1:13" x14ac:dyDescent="0.3">
      <c r="A79" s="8" t="s">
        <v>397</v>
      </c>
      <c r="B79" s="8" t="s">
        <v>34</v>
      </c>
      <c r="C79" s="17" t="s">
        <v>398</v>
      </c>
      <c r="D79" s="9" t="s">
        <v>236</v>
      </c>
      <c r="E79" s="9" t="s">
        <v>236</v>
      </c>
      <c r="F79" s="9" t="s">
        <v>237</v>
      </c>
      <c r="G79" s="9" t="s">
        <v>237</v>
      </c>
      <c r="H79" s="9" t="str">
        <f t="shared" si="1"/>
        <v>PASS</v>
      </c>
      <c r="I79" s="8" t="s">
        <v>35</v>
      </c>
      <c r="J79" s="8" t="s">
        <v>394</v>
      </c>
      <c r="K79" s="9" t="s">
        <v>237</v>
      </c>
      <c r="L79" s="8"/>
      <c r="M79" s="8" t="s">
        <v>239</v>
      </c>
    </row>
    <row r="80" spans="1:13" x14ac:dyDescent="0.3">
      <c r="A80" s="8" t="s">
        <v>399</v>
      </c>
      <c r="B80" s="8" t="s">
        <v>34</v>
      </c>
      <c r="C80" s="17" t="s">
        <v>400</v>
      </c>
      <c r="D80" s="9" t="s">
        <v>236</v>
      </c>
      <c r="E80" s="9" t="s">
        <v>236</v>
      </c>
      <c r="F80" s="9" t="s">
        <v>237</v>
      </c>
      <c r="G80" s="9" t="s">
        <v>237</v>
      </c>
      <c r="H80" s="9" t="str">
        <f t="shared" si="1"/>
        <v>PASS</v>
      </c>
      <c r="I80" s="8" t="s">
        <v>35</v>
      </c>
      <c r="J80" s="8" t="s">
        <v>394</v>
      </c>
      <c r="K80" s="9" t="s">
        <v>237</v>
      </c>
      <c r="L80" s="8"/>
      <c r="M80" s="8" t="s">
        <v>239</v>
      </c>
    </row>
    <row r="81" spans="1:13" x14ac:dyDescent="0.3">
      <c r="A81" s="8" t="s">
        <v>401</v>
      </c>
      <c r="B81" s="8" t="s">
        <v>34</v>
      </c>
      <c r="C81" s="17" t="s">
        <v>402</v>
      </c>
      <c r="D81" s="9" t="s">
        <v>236</v>
      </c>
      <c r="E81" s="9" t="s">
        <v>236</v>
      </c>
      <c r="F81" s="9" t="s">
        <v>237</v>
      </c>
      <c r="G81" s="9" t="s">
        <v>237</v>
      </c>
      <c r="H81" s="9" t="str">
        <f t="shared" si="1"/>
        <v>PASS</v>
      </c>
      <c r="I81" s="8" t="s">
        <v>35</v>
      </c>
      <c r="J81" s="8" t="s">
        <v>394</v>
      </c>
      <c r="K81" s="9" t="s">
        <v>237</v>
      </c>
      <c r="L81" s="8"/>
      <c r="M81" s="8" t="s">
        <v>239</v>
      </c>
    </row>
    <row r="82" spans="1:13" x14ac:dyDescent="0.3">
      <c r="A82" s="8" t="s">
        <v>403</v>
      </c>
      <c r="B82" s="8" t="s">
        <v>34</v>
      </c>
      <c r="C82" s="17" t="s">
        <v>404</v>
      </c>
      <c r="D82" s="9" t="s">
        <v>236</v>
      </c>
      <c r="E82" s="9" t="s">
        <v>236</v>
      </c>
      <c r="F82" s="9" t="s">
        <v>237</v>
      </c>
      <c r="G82" s="9" t="s">
        <v>237</v>
      </c>
      <c r="H82" s="9" t="str">
        <f t="shared" si="1"/>
        <v>PASS</v>
      </c>
      <c r="I82" s="8" t="s">
        <v>35</v>
      </c>
      <c r="J82" s="8" t="s">
        <v>394</v>
      </c>
      <c r="K82" s="9" t="s">
        <v>237</v>
      </c>
      <c r="L82" s="8"/>
      <c r="M82" s="8" t="s">
        <v>239</v>
      </c>
    </row>
    <row r="83" spans="1:13" x14ac:dyDescent="0.3">
      <c r="A83" s="8" t="s">
        <v>405</v>
      </c>
      <c r="B83" s="8" t="s">
        <v>34</v>
      </c>
      <c r="C83" s="17" t="s">
        <v>406</v>
      </c>
      <c r="D83" s="9" t="s">
        <v>236</v>
      </c>
      <c r="E83" s="9" t="s">
        <v>236</v>
      </c>
      <c r="F83" s="9" t="s">
        <v>237</v>
      </c>
      <c r="G83" s="9" t="s">
        <v>237</v>
      </c>
      <c r="H83" s="9" t="str">
        <f t="shared" si="1"/>
        <v>PASS</v>
      </c>
      <c r="I83" s="8" t="s">
        <v>35</v>
      </c>
      <c r="J83" s="8" t="s">
        <v>394</v>
      </c>
      <c r="K83" s="9" t="s">
        <v>237</v>
      </c>
      <c r="L83" s="8"/>
      <c r="M83" s="8" t="s">
        <v>239</v>
      </c>
    </row>
    <row r="84" spans="1:13" x14ac:dyDescent="0.3">
      <c r="A84" s="8" t="s">
        <v>407</v>
      </c>
      <c r="B84" s="8" t="s">
        <v>34</v>
      </c>
      <c r="C84" s="17" t="s">
        <v>408</v>
      </c>
      <c r="D84" s="9" t="s">
        <v>236</v>
      </c>
      <c r="E84" s="9" t="s">
        <v>236</v>
      </c>
      <c r="F84" s="9" t="s">
        <v>237</v>
      </c>
      <c r="G84" s="9" t="s">
        <v>237</v>
      </c>
      <c r="H84" s="9" t="str">
        <f t="shared" si="1"/>
        <v>PASS</v>
      </c>
      <c r="I84" s="8" t="s">
        <v>35</v>
      </c>
      <c r="J84" s="8" t="s">
        <v>394</v>
      </c>
      <c r="K84" s="9" t="s">
        <v>237</v>
      </c>
      <c r="L84" s="8"/>
      <c r="M84" s="8" t="s">
        <v>239</v>
      </c>
    </row>
    <row r="85" spans="1:13" ht="26.4" x14ac:dyDescent="0.3">
      <c r="A85" s="8" t="s">
        <v>409</v>
      </c>
      <c r="B85" s="8" t="s">
        <v>37</v>
      </c>
      <c r="C85" s="17" t="s">
        <v>410</v>
      </c>
      <c r="D85" s="9" t="s">
        <v>236</v>
      </c>
      <c r="E85" s="9" t="s">
        <v>236</v>
      </c>
      <c r="F85" s="9" t="s">
        <v>237</v>
      </c>
      <c r="G85" s="9" t="s">
        <v>237</v>
      </c>
      <c r="H85" s="9" t="str">
        <f t="shared" si="1"/>
        <v>PASS</v>
      </c>
      <c r="I85" s="8" t="s">
        <v>411</v>
      </c>
      <c r="J85" s="8" t="s">
        <v>412</v>
      </c>
      <c r="K85" s="9" t="s">
        <v>237</v>
      </c>
      <c r="L85" s="11" t="s">
        <v>413</v>
      </c>
      <c r="M85" s="8" t="s">
        <v>239</v>
      </c>
    </row>
    <row r="86" spans="1:13" x14ac:dyDescent="0.3">
      <c r="A86" s="8" t="s">
        <v>414</v>
      </c>
      <c r="B86" s="8" t="s">
        <v>37</v>
      </c>
      <c r="C86" s="17" t="s">
        <v>415</v>
      </c>
      <c r="D86" s="9" t="s">
        <v>236</v>
      </c>
      <c r="E86" s="9" t="s">
        <v>236</v>
      </c>
      <c r="F86" s="9" t="s">
        <v>242</v>
      </c>
      <c r="G86" s="9" t="s">
        <v>242</v>
      </c>
      <c r="H86" s="9" t="str">
        <f t="shared" si="1"/>
        <v>PASS</v>
      </c>
      <c r="I86" s="8" t="s">
        <v>168</v>
      </c>
      <c r="J86" s="8" t="s">
        <v>168</v>
      </c>
      <c r="K86" s="9" t="s">
        <v>242</v>
      </c>
      <c r="L86" s="8"/>
      <c r="M86" s="8" t="s">
        <v>239</v>
      </c>
    </row>
    <row r="87" spans="1:13" ht="26.4" x14ac:dyDescent="0.3">
      <c r="A87" s="8" t="s">
        <v>416</v>
      </c>
      <c r="B87" s="8" t="s">
        <v>37</v>
      </c>
      <c r="C87" s="17" t="s">
        <v>417</v>
      </c>
      <c r="D87" s="9" t="s">
        <v>236</v>
      </c>
      <c r="E87" s="9" t="s">
        <v>236</v>
      </c>
      <c r="F87" s="9" t="s">
        <v>237</v>
      </c>
      <c r="G87" s="9" t="s">
        <v>237</v>
      </c>
      <c r="H87" s="9" t="str">
        <f t="shared" si="1"/>
        <v>PASS</v>
      </c>
      <c r="I87" s="8" t="s">
        <v>411</v>
      </c>
      <c r="J87" s="8" t="s">
        <v>412</v>
      </c>
      <c r="K87" s="9" t="s">
        <v>237</v>
      </c>
      <c r="L87" s="11" t="s">
        <v>413</v>
      </c>
      <c r="M87" s="8" t="s">
        <v>239</v>
      </c>
    </row>
    <row r="88" spans="1:13" x14ac:dyDescent="0.3">
      <c r="A88" s="8" t="s">
        <v>418</v>
      </c>
      <c r="B88" s="8" t="s">
        <v>37</v>
      </c>
      <c r="C88" s="17" t="s">
        <v>162</v>
      </c>
      <c r="D88" s="9" t="s">
        <v>236</v>
      </c>
      <c r="E88" s="9" t="s">
        <v>236</v>
      </c>
      <c r="F88" s="9" t="s">
        <v>242</v>
      </c>
      <c r="G88" s="9" t="s">
        <v>242</v>
      </c>
      <c r="H88" s="9" t="str">
        <f t="shared" si="1"/>
        <v>PASS</v>
      </c>
      <c r="I88" s="8" t="s">
        <v>168</v>
      </c>
      <c r="J88" s="8" t="s">
        <v>168</v>
      </c>
      <c r="K88" s="9" t="s">
        <v>242</v>
      </c>
      <c r="L88" s="8"/>
      <c r="M88" s="8" t="s">
        <v>239</v>
      </c>
    </row>
    <row r="89" spans="1:13" ht="26.4" x14ac:dyDescent="0.3">
      <c r="A89" s="8" t="s">
        <v>419</v>
      </c>
      <c r="B89" s="8" t="s">
        <v>37</v>
      </c>
      <c r="C89" s="17" t="s">
        <v>420</v>
      </c>
      <c r="D89" s="9" t="s">
        <v>236</v>
      </c>
      <c r="E89" s="9" t="s">
        <v>236</v>
      </c>
      <c r="F89" s="9" t="s">
        <v>237</v>
      </c>
      <c r="G89" s="9" t="s">
        <v>237</v>
      </c>
      <c r="H89" s="9" t="str">
        <f t="shared" si="1"/>
        <v>PASS</v>
      </c>
      <c r="I89" s="8" t="s">
        <v>411</v>
      </c>
      <c r="J89" s="8" t="s">
        <v>412</v>
      </c>
      <c r="K89" s="9" t="s">
        <v>237</v>
      </c>
      <c r="L89" s="11" t="s">
        <v>413</v>
      </c>
      <c r="M89" s="8" t="s">
        <v>239</v>
      </c>
    </row>
    <row r="90" spans="1:13" x14ac:dyDescent="0.3">
      <c r="A90" s="8" t="s">
        <v>421</v>
      </c>
      <c r="B90" s="8" t="s">
        <v>37</v>
      </c>
      <c r="C90" s="17" t="s">
        <v>422</v>
      </c>
      <c r="D90" s="9" t="s">
        <v>236</v>
      </c>
      <c r="E90" s="9" t="s">
        <v>236</v>
      </c>
      <c r="F90" s="9" t="s">
        <v>242</v>
      </c>
      <c r="G90" s="9" t="s">
        <v>242</v>
      </c>
      <c r="H90" s="9" t="str">
        <f t="shared" si="1"/>
        <v>PASS</v>
      </c>
      <c r="I90" s="8" t="s">
        <v>168</v>
      </c>
      <c r="J90" s="8" t="s">
        <v>168</v>
      </c>
      <c r="K90" s="9" t="s">
        <v>242</v>
      </c>
      <c r="L90" s="8"/>
      <c r="M90" s="8" t="s">
        <v>239</v>
      </c>
    </row>
    <row r="91" spans="1:13" ht="26.4" x14ac:dyDescent="0.3">
      <c r="A91" s="8" t="s">
        <v>423</v>
      </c>
      <c r="B91" s="8" t="s">
        <v>37</v>
      </c>
      <c r="C91" s="17" t="s">
        <v>424</v>
      </c>
      <c r="D91" s="9" t="s">
        <v>236</v>
      </c>
      <c r="E91" s="9" t="s">
        <v>236</v>
      </c>
      <c r="F91" s="9" t="s">
        <v>237</v>
      </c>
      <c r="G91" s="9" t="s">
        <v>237</v>
      </c>
      <c r="H91" s="9" t="str">
        <f t="shared" si="1"/>
        <v>PASS</v>
      </c>
      <c r="I91" s="8" t="s">
        <v>411</v>
      </c>
      <c r="J91" s="8" t="s">
        <v>412</v>
      </c>
      <c r="K91" s="9" t="s">
        <v>237</v>
      </c>
      <c r="L91" s="11" t="s">
        <v>413</v>
      </c>
      <c r="M91" s="8" t="s">
        <v>239</v>
      </c>
    </row>
    <row r="92" spans="1:13" x14ac:dyDescent="0.3">
      <c r="A92" s="8" t="s">
        <v>425</v>
      </c>
      <c r="B92" s="8" t="s">
        <v>37</v>
      </c>
      <c r="C92" s="17" t="s">
        <v>426</v>
      </c>
      <c r="D92" s="9" t="s">
        <v>236</v>
      </c>
      <c r="E92" s="9" t="s">
        <v>236</v>
      </c>
      <c r="F92" s="9" t="s">
        <v>242</v>
      </c>
      <c r="G92" s="9" t="s">
        <v>242</v>
      </c>
      <c r="H92" s="9" t="str">
        <f t="shared" si="1"/>
        <v>PASS</v>
      </c>
      <c r="I92" s="8" t="s">
        <v>168</v>
      </c>
      <c r="J92" s="8" t="s">
        <v>168</v>
      </c>
      <c r="K92" s="9" t="s">
        <v>242</v>
      </c>
      <c r="L92" s="8"/>
      <c r="M92" s="8" t="s">
        <v>239</v>
      </c>
    </row>
    <row r="93" spans="1:13" ht="26.4" x14ac:dyDescent="0.3">
      <c r="A93" s="8" t="s">
        <v>427</v>
      </c>
      <c r="B93" s="8" t="s">
        <v>37</v>
      </c>
      <c r="C93" s="17" t="s">
        <v>428</v>
      </c>
      <c r="D93" s="9" t="s">
        <v>236</v>
      </c>
      <c r="E93" s="9" t="s">
        <v>236</v>
      </c>
      <c r="F93" s="9" t="s">
        <v>237</v>
      </c>
      <c r="G93" s="9" t="s">
        <v>237</v>
      </c>
      <c r="H93" s="9" t="str">
        <f t="shared" si="1"/>
        <v>PASS</v>
      </c>
      <c r="I93" s="8" t="s">
        <v>411</v>
      </c>
      <c r="J93" s="8" t="s">
        <v>412</v>
      </c>
      <c r="K93" s="9" t="s">
        <v>237</v>
      </c>
      <c r="L93" s="11" t="s">
        <v>413</v>
      </c>
      <c r="M93" s="8" t="s">
        <v>239</v>
      </c>
    </row>
    <row r="94" spans="1:13" x14ac:dyDescent="0.3">
      <c r="A94" s="8" t="s">
        <v>429</v>
      </c>
      <c r="B94" s="8" t="s">
        <v>37</v>
      </c>
      <c r="C94" s="17" t="s">
        <v>430</v>
      </c>
      <c r="D94" s="9" t="s">
        <v>236</v>
      </c>
      <c r="E94" s="9" t="s">
        <v>236</v>
      </c>
      <c r="F94" s="9" t="s">
        <v>242</v>
      </c>
      <c r="G94" s="9" t="s">
        <v>242</v>
      </c>
      <c r="H94" s="9" t="str">
        <f t="shared" si="1"/>
        <v>PASS</v>
      </c>
      <c r="I94" s="8" t="s">
        <v>168</v>
      </c>
      <c r="J94" s="8" t="s">
        <v>168</v>
      </c>
      <c r="K94" s="9" t="s">
        <v>242</v>
      </c>
      <c r="L94" s="8"/>
      <c r="M94" s="8" t="s">
        <v>239</v>
      </c>
    </row>
    <row r="95" spans="1:13" ht="26.4" x14ac:dyDescent="0.3">
      <c r="A95" s="8" t="s">
        <v>431</v>
      </c>
      <c r="B95" s="8" t="s">
        <v>37</v>
      </c>
      <c r="C95" s="17" t="s">
        <v>432</v>
      </c>
      <c r="D95" s="9" t="s">
        <v>236</v>
      </c>
      <c r="E95" s="9" t="s">
        <v>236</v>
      </c>
      <c r="F95" s="9" t="s">
        <v>237</v>
      </c>
      <c r="G95" s="9" t="s">
        <v>237</v>
      </c>
      <c r="H95" s="9" t="str">
        <f t="shared" si="1"/>
        <v>PASS</v>
      </c>
      <c r="I95" s="8" t="s">
        <v>411</v>
      </c>
      <c r="J95" s="8" t="s">
        <v>412</v>
      </c>
      <c r="K95" s="9" t="s">
        <v>237</v>
      </c>
      <c r="L95" s="11" t="s">
        <v>413</v>
      </c>
      <c r="M95" s="8" t="s">
        <v>239</v>
      </c>
    </row>
    <row r="96" spans="1:13" x14ac:dyDescent="0.3">
      <c r="A96" s="8" t="s">
        <v>433</v>
      </c>
      <c r="B96" s="8" t="s">
        <v>37</v>
      </c>
      <c r="C96" s="17" t="s">
        <v>434</v>
      </c>
      <c r="D96" s="9" t="s">
        <v>236</v>
      </c>
      <c r="E96" s="9" t="s">
        <v>236</v>
      </c>
      <c r="F96" s="9" t="s">
        <v>242</v>
      </c>
      <c r="G96" s="9" t="s">
        <v>242</v>
      </c>
      <c r="H96" s="9" t="str">
        <f t="shared" si="1"/>
        <v>PASS</v>
      </c>
      <c r="I96" s="8" t="s">
        <v>168</v>
      </c>
      <c r="J96" s="8" t="s">
        <v>168</v>
      </c>
      <c r="K96" s="9" t="s">
        <v>242</v>
      </c>
      <c r="L96" s="8"/>
      <c r="M96" s="8" t="s">
        <v>239</v>
      </c>
    </row>
    <row r="97" spans="1:13" ht="26.4" x14ac:dyDescent="0.3">
      <c r="A97" s="8" t="s">
        <v>435</v>
      </c>
      <c r="B97" s="8" t="s">
        <v>37</v>
      </c>
      <c r="C97" s="17" t="s">
        <v>436</v>
      </c>
      <c r="D97" s="9" t="s">
        <v>236</v>
      </c>
      <c r="E97" s="9" t="s">
        <v>236</v>
      </c>
      <c r="F97" s="9" t="s">
        <v>237</v>
      </c>
      <c r="G97" s="9" t="s">
        <v>237</v>
      </c>
      <c r="H97" s="9" t="str">
        <f t="shared" si="1"/>
        <v>PASS</v>
      </c>
      <c r="I97" s="8" t="s">
        <v>411</v>
      </c>
      <c r="J97" s="8" t="s">
        <v>412</v>
      </c>
      <c r="K97" s="9" t="s">
        <v>237</v>
      </c>
      <c r="L97" s="11" t="s">
        <v>413</v>
      </c>
      <c r="M97" s="8" t="s">
        <v>239</v>
      </c>
    </row>
    <row r="98" spans="1:13" x14ac:dyDescent="0.3">
      <c r="A98" s="8" t="s">
        <v>437</v>
      </c>
      <c r="B98" s="8" t="s">
        <v>37</v>
      </c>
      <c r="C98" s="17" t="s">
        <v>438</v>
      </c>
      <c r="D98" s="9" t="s">
        <v>236</v>
      </c>
      <c r="E98" s="9" t="s">
        <v>236</v>
      </c>
      <c r="F98" s="9" t="s">
        <v>242</v>
      </c>
      <c r="G98" s="9" t="s">
        <v>242</v>
      </c>
      <c r="H98" s="9" t="str">
        <f t="shared" si="1"/>
        <v>PASS</v>
      </c>
      <c r="I98" s="8" t="s">
        <v>168</v>
      </c>
      <c r="J98" s="8" t="s">
        <v>168</v>
      </c>
      <c r="K98" s="9" t="s">
        <v>242</v>
      </c>
      <c r="L98" s="8"/>
      <c r="M98" s="8" t="s">
        <v>239</v>
      </c>
    </row>
    <row r="99" spans="1:13" ht="26.4" x14ac:dyDescent="0.3">
      <c r="A99" s="8" t="s">
        <v>439</v>
      </c>
      <c r="B99" s="8" t="s">
        <v>37</v>
      </c>
      <c r="C99" s="17" t="s">
        <v>440</v>
      </c>
      <c r="D99" s="9" t="s">
        <v>236</v>
      </c>
      <c r="E99" s="9" t="s">
        <v>236</v>
      </c>
      <c r="F99" s="9" t="s">
        <v>237</v>
      </c>
      <c r="G99" s="9" t="s">
        <v>237</v>
      </c>
      <c r="H99" s="9" t="str">
        <f t="shared" si="1"/>
        <v>PASS</v>
      </c>
      <c r="I99" s="8" t="s">
        <v>411</v>
      </c>
      <c r="J99" s="8" t="s">
        <v>412</v>
      </c>
      <c r="K99" s="9" t="s">
        <v>237</v>
      </c>
      <c r="L99" s="11" t="s">
        <v>413</v>
      </c>
      <c r="M99" s="8" t="s">
        <v>239</v>
      </c>
    </row>
    <row r="100" spans="1:13" x14ac:dyDescent="0.3">
      <c r="A100" s="8" t="s">
        <v>441</v>
      </c>
      <c r="B100" s="8" t="s">
        <v>37</v>
      </c>
      <c r="C100" s="17" t="s">
        <v>442</v>
      </c>
      <c r="D100" s="9" t="s">
        <v>236</v>
      </c>
      <c r="E100" s="9" t="s">
        <v>236</v>
      </c>
      <c r="F100" s="9" t="s">
        <v>242</v>
      </c>
      <c r="G100" s="9" t="s">
        <v>242</v>
      </c>
      <c r="H100" s="9" t="str">
        <f t="shared" si="1"/>
        <v>PASS</v>
      </c>
      <c r="I100" s="8" t="s">
        <v>168</v>
      </c>
      <c r="J100" s="8" t="s">
        <v>168</v>
      </c>
      <c r="K100" s="9" t="s">
        <v>242</v>
      </c>
      <c r="L100" s="8"/>
      <c r="M100" s="8" t="s">
        <v>239</v>
      </c>
    </row>
    <row r="101" spans="1:13" ht="26.4" x14ac:dyDescent="0.3">
      <c r="A101" s="8" t="s">
        <v>443</v>
      </c>
      <c r="B101" s="8" t="s">
        <v>40</v>
      </c>
      <c r="C101" s="17" t="s">
        <v>444</v>
      </c>
      <c r="D101" s="9" t="s">
        <v>236</v>
      </c>
      <c r="E101" s="9" t="s">
        <v>236</v>
      </c>
      <c r="F101" s="9" t="s">
        <v>237</v>
      </c>
      <c r="G101" s="9" t="s">
        <v>237</v>
      </c>
      <c r="H101" s="9" t="str">
        <f t="shared" si="1"/>
        <v>PASS</v>
      </c>
      <c r="I101" s="8" t="s">
        <v>41</v>
      </c>
      <c r="J101" s="8" t="s">
        <v>445</v>
      </c>
      <c r="K101" s="9" t="s">
        <v>237</v>
      </c>
      <c r="L101" s="11" t="s">
        <v>446</v>
      </c>
      <c r="M101" s="8" t="s">
        <v>239</v>
      </c>
    </row>
    <row r="102" spans="1:13" ht="26.4" x14ac:dyDescent="0.3">
      <c r="A102" s="8" t="s">
        <v>447</v>
      </c>
      <c r="B102" s="8" t="s">
        <v>40</v>
      </c>
      <c r="C102" s="17" t="s">
        <v>448</v>
      </c>
      <c r="D102" s="9" t="s">
        <v>236</v>
      </c>
      <c r="E102" s="9" t="s">
        <v>236</v>
      </c>
      <c r="F102" s="9" t="s">
        <v>237</v>
      </c>
      <c r="G102" s="9" t="s">
        <v>237</v>
      </c>
      <c r="H102" s="9" t="str">
        <f t="shared" si="1"/>
        <v>PASS</v>
      </c>
      <c r="I102" s="8" t="s">
        <v>41</v>
      </c>
      <c r="J102" s="8" t="s">
        <v>445</v>
      </c>
      <c r="K102" s="9" t="s">
        <v>237</v>
      </c>
      <c r="L102" s="11" t="s">
        <v>446</v>
      </c>
      <c r="M102" s="8" t="s">
        <v>239</v>
      </c>
    </row>
    <row r="103" spans="1:13" ht="26.4" x14ac:dyDescent="0.3">
      <c r="A103" s="8" t="s">
        <v>449</v>
      </c>
      <c r="B103" s="8" t="s">
        <v>40</v>
      </c>
      <c r="C103" s="17" t="s">
        <v>450</v>
      </c>
      <c r="D103" s="9" t="s">
        <v>236</v>
      </c>
      <c r="E103" s="9" t="s">
        <v>236</v>
      </c>
      <c r="F103" s="9" t="s">
        <v>237</v>
      </c>
      <c r="G103" s="9" t="s">
        <v>237</v>
      </c>
      <c r="H103" s="9" t="str">
        <f t="shared" si="1"/>
        <v>PASS</v>
      </c>
      <c r="I103" s="8" t="s">
        <v>41</v>
      </c>
      <c r="J103" s="8" t="s">
        <v>445</v>
      </c>
      <c r="K103" s="9" t="s">
        <v>237</v>
      </c>
      <c r="L103" s="11" t="s">
        <v>446</v>
      </c>
      <c r="M103" s="8" t="s">
        <v>239</v>
      </c>
    </row>
    <row r="104" spans="1:13" ht="26.4" x14ac:dyDescent="0.3">
      <c r="A104" s="8" t="s">
        <v>451</v>
      </c>
      <c r="B104" s="8" t="s">
        <v>40</v>
      </c>
      <c r="C104" s="17" t="s">
        <v>452</v>
      </c>
      <c r="D104" s="9" t="s">
        <v>236</v>
      </c>
      <c r="E104" s="9" t="s">
        <v>236</v>
      </c>
      <c r="F104" s="9" t="s">
        <v>237</v>
      </c>
      <c r="G104" s="9" t="s">
        <v>237</v>
      </c>
      <c r="H104" s="9" t="str">
        <f t="shared" si="1"/>
        <v>PASS</v>
      </c>
      <c r="I104" s="8" t="s">
        <v>453</v>
      </c>
      <c r="J104" s="8" t="s">
        <v>454</v>
      </c>
      <c r="K104" s="9" t="s">
        <v>237</v>
      </c>
      <c r="L104" s="11" t="s">
        <v>446</v>
      </c>
      <c r="M104" s="8" t="s">
        <v>239</v>
      </c>
    </row>
    <row r="105" spans="1:13" ht="26.4" x14ac:dyDescent="0.3">
      <c r="A105" s="8" t="s">
        <v>455</v>
      </c>
      <c r="B105" s="8" t="s">
        <v>40</v>
      </c>
      <c r="C105" s="17" t="s">
        <v>456</v>
      </c>
      <c r="D105" s="9" t="s">
        <v>236</v>
      </c>
      <c r="E105" s="9" t="s">
        <v>236</v>
      </c>
      <c r="F105" s="9" t="s">
        <v>237</v>
      </c>
      <c r="G105" s="9" t="s">
        <v>237</v>
      </c>
      <c r="H105" s="9" t="str">
        <f t="shared" si="1"/>
        <v>PASS</v>
      </c>
      <c r="I105" s="8" t="s">
        <v>41</v>
      </c>
      <c r="J105" s="8" t="s">
        <v>445</v>
      </c>
      <c r="K105" s="9" t="s">
        <v>237</v>
      </c>
      <c r="L105" s="11" t="s">
        <v>446</v>
      </c>
      <c r="M105" s="8" t="s">
        <v>239</v>
      </c>
    </row>
    <row r="106" spans="1:13" ht="26.4" x14ac:dyDescent="0.3">
      <c r="A106" s="8" t="s">
        <v>457</v>
      </c>
      <c r="B106" s="8" t="s">
        <v>40</v>
      </c>
      <c r="C106" s="17" t="s">
        <v>458</v>
      </c>
      <c r="D106" s="9" t="s">
        <v>236</v>
      </c>
      <c r="E106" s="9" t="s">
        <v>236</v>
      </c>
      <c r="F106" s="9" t="s">
        <v>237</v>
      </c>
      <c r="G106" s="9" t="s">
        <v>237</v>
      </c>
      <c r="H106" s="9" t="str">
        <f t="shared" si="1"/>
        <v>PASS</v>
      </c>
      <c r="I106" s="8" t="s">
        <v>41</v>
      </c>
      <c r="J106" s="8" t="s">
        <v>445</v>
      </c>
      <c r="K106" s="9" t="s">
        <v>237</v>
      </c>
      <c r="L106" s="11" t="s">
        <v>446</v>
      </c>
      <c r="M106" s="8" t="s">
        <v>239</v>
      </c>
    </row>
    <row r="107" spans="1:13" ht="26.4" x14ac:dyDescent="0.3">
      <c r="A107" s="8" t="s">
        <v>459</v>
      </c>
      <c r="B107" s="8" t="s">
        <v>40</v>
      </c>
      <c r="C107" s="17" t="s">
        <v>460</v>
      </c>
      <c r="D107" s="9" t="s">
        <v>236</v>
      </c>
      <c r="E107" s="9" t="s">
        <v>236</v>
      </c>
      <c r="F107" s="9" t="s">
        <v>237</v>
      </c>
      <c r="G107" s="9" t="s">
        <v>237</v>
      </c>
      <c r="H107" s="9" t="str">
        <f t="shared" si="1"/>
        <v>PASS</v>
      </c>
      <c r="I107" s="8" t="s">
        <v>41</v>
      </c>
      <c r="J107" s="8" t="s">
        <v>445</v>
      </c>
      <c r="K107" s="9" t="s">
        <v>237</v>
      </c>
      <c r="L107" s="11" t="s">
        <v>446</v>
      </c>
      <c r="M107" s="8" t="s">
        <v>239</v>
      </c>
    </row>
    <row r="108" spans="1:13" ht="26.4" x14ac:dyDescent="0.3">
      <c r="A108" s="8" t="s">
        <v>461</v>
      </c>
      <c r="B108" s="8" t="s">
        <v>40</v>
      </c>
      <c r="C108" s="17" t="s">
        <v>462</v>
      </c>
      <c r="D108" s="9" t="s">
        <v>236</v>
      </c>
      <c r="E108" s="9" t="s">
        <v>236</v>
      </c>
      <c r="F108" s="9" t="s">
        <v>237</v>
      </c>
      <c r="G108" s="9" t="s">
        <v>237</v>
      </c>
      <c r="H108" s="9" t="str">
        <f t="shared" si="1"/>
        <v>PASS</v>
      </c>
      <c r="I108" s="8" t="s">
        <v>41</v>
      </c>
      <c r="J108" s="8" t="s">
        <v>445</v>
      </c>
      <c r="K108" s="9" t="s">
        <v>237</v>
      </c>
      <c r="L108" s="11" t="s">
        <v>446</v>
      </c>
      <c r="M108" s="8" t="s">
        <v>239</v>
      </c>
    </row>
    <row r="109" spans="1:13" ht="26.4" x14ac:dyDescent="0.3">
      <c r="A109" s="8" t="s">
        <v>463</v>
      </c>
      <c r="B109" s="8" t="s">
        <v>40</v>
      </c>
      <c r="C109" s="17" t="s">
        <v>464</v>
      </c>
      <c r="D109" s="9" t="s">
        <v>236</v>
      </c>
      <c r="E109" s="9" t="s">
        <v>236</v>
      </c>
      <c r="F109" s="9" t="s">
        <v>237</v>
      </c>
      <c r="G109" s="9" t="s">
        <v>237</v>
      </c>
      <c r="H109" s="9" t="str">
        <f t="shared" si="1"/>
        <v>PASS</v>
      </c>
      <c r="I109" s="8" t="s">
        <v>41</v>
      </c>
      <c r="J109" s="8" t="s">
        <v>445</v>
      </c>
      <c r="K109" s="9" t="s">
        <v>237</v>
      </c>
      <c r="L109" s="11" t="s">
        <v>446</v>
      </c>
      <c r="M109" s="8" t="s">
        <v>239</v>
      </c>
    </row>
    <row r="110" spans="1:13" ht="26.4" x14ac:dyDescent="0.3">
      <c r="A110" s="8" t="s">
        <v>465</v>
      </c>
      <c r="B110" s="8" t="s">
        <v>40</v>
      </c>
      <c r="C110" s="17" t="s">
        <v>466</v>
      </c>
      <c r="D110" s="9" t="s">
        <v>236</v>
      </c>
      <c r="E110" s="9" t="s">
        <v>236</v>
      </c>
      <c r="F110" s="9" t="s">
        <v>237</v>
      </c>
      <c r="G110" s="9" t="s">
        <v>237</v>
      </c>
      <c r="H110" s="9" t="str">
        <f t="shared" si="1"/>
        <v>PASS</v>
      </c>
      <c r="I110" s="8" t="s">
        <v>41</v>
      </c>
      <c r="J110" s="8" t="s">
        <v>445</v>
      </c>
      <c r="K110" s="9" t="s">
        <v>237</v>
      </c>
      <c r="L110" s="11" t="s">
        <v>446</v>
      </c>
      <c r="M110" s="8" t="s">
        <v>239</v>
      </c>
    </row>
    <row r="111" spans="1:13" ht="26.4" x14ac:dyDescent="0.3">
      <c r="A111" s="8" t="s">
        <v>467</v>
      </c>
      <c r="B111" s="8" t="s">
        <v>40</v>
      </c>
      <c r="C111" s="17" t="s">
        <v>468</v>
      </c>
      <c r="D111" s="9" t="s">
        <v>236</v>
      </c>
      <c r="E111" s="9" t="s">
        <v>236</v>
      </c>
      <c r="F111" s="9" t="s">
        <v>237</v>
      </c>
      <c r="G111" s="9" t="s">
        <v>237</v>
      </c>
      <c r="H111" s="9" t="str">
        <f t="shared" si="1"/>
        <v>PASS</v>
      </c>
      <c r="I111" s="8" t="s">
        <v>41</v>
      </c>
      <c r="J111" s="8" t="s">
        <v>445</v>
      </c>
      <c r="K111" s="9" t="s">
        <v>237</v>
      </c>
      <c r="L111" s="11" t="s">
        <v>446</v>
      </c>
      <c r="M111" s="8" t="s">
        <v>239</v>
      </c>
    </row>
    <row r="112" spans="1:13" ht="26.4" x14ac:dyDescent="0.3">
      <c r="A112" s="8" t="s">
        <v>469</v>
      </c>
      <c r="B112" s="8" t="s">
        <v>40</v>
      </c>
      <c r="C112" s="17" t="s">
        <v>470</v>
      </c>
      <c r="D112" s="9" t="s">
        <v>236</v>
      </c>
      <c r="E112" s="9" t="s">
        <v>236</v>
      </c>
      <c r="F112" s="9" t="s">
        <v>237</v>
      </c>
      <c r="G112" s="9" t="s">
        <v>237</v>
      </c>
      <c r="H112" s="9" t="str">
        <f t="shared" si="1"/>
        <v>PASS</v>
      </c>
      <c r="I112" s="8" t="s">
        <v>41</v>
      </c>
      <c r="J112" s="8" t="s">
        <v>445</v>
      </c>
      <c r="K112" s="9" t="s">
        <v>237</v>
      </c>
      <c r="L112" s="11" t="s">
        <v>446</v>
      </c>
      <c r="M112" s="8" t="s">
        <v>239</v>
      </c>
    </row>
    <row r="113" spans="1:13" x14ac:dyDescent="0.3">
      <c r="A113" s="8" t="s">
        <v>471</v>
      </c>
      <c r="B113" s="8" t="s">
        <v>40</v>
      </c>
      <c r="C113" s="17" t="s">
        <v>472</v>
      </c>
      <c r="D113" s="9" t="s">
        <v>236</v>
      </c>
      <c r="E113" s="9" t="s">
        <v>236</v>
      </c>
      <c r="F113" s="9" t="s">
        <v>242</v>
      </c>
      <c r="G113" s="9" t="s">
        <v>242</v>
      </c>
      <c r="H113" s="9" t="str">
        <f t="shared" si="1"/>
        <v>PASS</v>
      </c>
      <c r="I113" s="8" t="s">
        <v>168</v>
      </c>
      <c r="J113" s="8" t="s">
        <v>168</v>
      </c>
      <c r="K113" s="9" t="s">
        <v>242</v>
      </c>
      <c r="L113" s="8"/>
      <c r="M113" s="8" t="s">
        <v>239</v>
      </c>
    </row>
    <row r="114" spans="1:13" x14ac:dyDescent="0.3">
      <c r="A114" s="8" t="s">
        <v>473</v>
      </c>
      <c r="B114" s="8" t="s">
        <v>40</v>
      </c>
      <c r="C114" s="17" t="s">
        <v>474</v>
      </c>
      <c r="D114" s="9" t="s">
        <v>236</v>
      </c>
      <c r="E114" s="9" t="s">
        <v>236</v>
      </c>
      <c r="F114" s="9" t="s">
        <v>242</v>
      </c>
      <c r="G114" s="9" t="s">
        <v>242</v>
      </c>
      <c r="H114" s="9" t="str">
        <f t="shared" si="1"/>
        <v>PASS</v>
      </c>
      <c r="I114" s="8" t="s">
        <v>168</v>
      </c>
      <c r="J114" s="8" t="s">
        <v>168</v>
      </c>
      <c r="K114" s="9" t="s">
        <v>242</v>
      </c>
      <c r="L114" s="8"/>
      <c r="M114" s="8" t="s">
        <v>239</v>
      </c>
    </row>
    <row r="115" spans="1:13" x14ac:dyDescent="0.3">
      <c r="A115" s="8" t="s">
        <v>475</v>
      </c>
      <c r="B115" s="8" t="s">
        <v>40</v>
      </c>
      <c r="C115" s="17" t="s">
        <v>476</v>
      </c>
      <c r="D115" s="9" t="s">
        <v>236</v>
      </c>
      <c r="E115" s="9" t="s">
        <v>236</v>
      </c>
      <c r="F115" s="9" t="s">
        <v>242</v>
      </c>
      <c r="G115" s="9" t="s">
        <v>242</v>
      </c>
      <c r="H115" s="9" t="str">
        <f t="shared" si="1"/>
        <v>PASS</v>
      </c>
      <c r="I115" s="8" t="s">
        <v>168</v>
      </c>
      <c r="J115" s="8" t="s">
        <v>168</v>
      </c>
      <c r="K115" s="9" t="s">
        <v>242</v>
      </c>
      <c r="L115" s="8"/>
      <c r="M115" s="8" t="s">
        <v>239</v>
      </c>
    </row>
    <row r="116" spans="1:13" x14ac:dyDescent="0.3">
      <c r="A116" s="8" t="s">
        <v>477</v>
      </c>
      <c r="B116" s="8" t="s">
        <v>40</v>
      </c>
      <c r="C116" s="17" t="s">
        <v>478</v>
      </c>
      <c r="D116" s="9" t="s">
        <v>236</v>
      </c>
      <c r="E116" s="9" t="s">
        <v>236</v>
      </c>
      <c r="F116" s="9" t="s">
        <v>242</v>
      </c>
      <c r="G116" s="9" t="s">
        <v>242</v>
      </c>
      <c r="H116" s="9" t="str">
        <f t="shared" si="1"/>
        <v>PASS</v>
      </c>
      <c r="I116" s="8" t="s">
        <v>168</v>
      </c>
      <c r="J116" s="8" t="s">
        <v>168</v>
      </c>
      <c r="K116" s="9" t="s">
        <v>242</v>
      </c>
      <c r="L116" s="8"/>
      <c r="M116" s="8" t="s">
        <v>239</v>
      </c>
    </row>
    <row r="117" spans="1:13" x14ac:dyDescent="0.3">
      <c r="A117" s="8" t="s">
        <v>479</v>
      </c>
      <c r="B117" s="8" t="s">
        <v>40</v>
      </c>
      <c r="C117" s="17" t="s">
        <v>480</v>
      </c>
      <c r="D117" s="9" t="s">
        <v>236</v>
      </c>
      <c r="E117" s="9" t="s">
        <v>236</v>
      </c>
      <c r="F117" s="9" t="s">
        <v>242</v>
      </c>
      <c r="G117" s="9" t="s">
        <v>242</v>
      </c>
      <c r="H117" s="9" t="str">
        <f t="shared" si="1"/>
        <v>PASS</v>
      </c>
      <c r="I117" s="8" t="s">
        <v>168</v>
      </c>
      <c r="J117" s="8" t="s">
        <v>168</v>
      </c>
      <c r="K117" s="9" t="s">
        <v>242</v>
      </c>
      <c r="L117" s="8"/>
      <c r="M117" s="8" t="s">
        <v>239</v>
      </c>
    </row>
    <row r="118" spans="1:13" x14ac:dyDescent="0.3">
      <c r="A118" s="8" t="s">
        <v>481</v>
      </c>
      <c r="B118" s="8" t="s">
        <v>40</v>
      </c>
      <c r="C118" s="17" t="s">
        <v>482</v>
      </c>
      <c r="D118" s="9" t="s">
        <v>236</v>
      </c>
      <c r="E118" s="9" t="s">
        <v>236</v>
      </c>
      <c r="F118" s="9" t="s">
        <v>242</v>
      </c>
      <c r="G118" s="9" t="s">
        <v>242</v>
      </c>
      <c r="H118" s="9" t="str">
        <f t="shared" si="1"/>
        <v>PASS</v>
      </c>
      <c r="I118" s="8" t="s">
        <v>168</v>
      </c>
      <c r="J118" s="8" t="s">
        <v>168</v>
      </c>
      <c r="K118" s="9" t="s">
        <v>242</v>
      </c>
      <c r="L118" s="8"/>
      <c r="M118" s="8" t="s">
        <v>239</v>
      </c>
    </row>
    <row r="119" spans="1:13" x14ac:dyDescent="0.3">
      <c r="A119" s="8" t="s">
        <v>483</v>
      </c>
      <c r="B119" s="8" t="s">
        <v>40</v>
      </c>
      <c r="C119" s="17" t="s">
        <v>484</v>
      </c>
      <c r="D119" s="9" t="s">
        <v>236</v>
      </c>
      <c r="E119" s="9" t="s">
        <v>236</v>
      </c>
      <c r="F119" s="9" t="s">
        <v>242</v>
      </c>
      <c r="G119" s="9" t="s">
        <v>242</v>
      </c>
      <c r="H119" s="9" t="str">
        <f t="shared" si="1"/>
        <v>PASS</v>
      </c>
      <c r="I119" s="8" t="s">
        <v>168</v>
      </c>
      <c r="J119" s="8" t="s">
        <v>168</v>
      </c>
      <c r="K119" s="9" t="s">
        <v>242</v>
      </c>
      <c r="L119" s="8"/>
      <c r="M119" s="8" t="s">
        <v>239</v>
      </c>
    </row>
    <row r="120" spans="1:13" x14ac:dyDescent="0.3">
      <c r="A120" s="8" t="s">
        <v>485</v>
      </c>
      <c r="B120" s="8" t="s">
        <v>40</v>
      </c>
      <c r="C120" s="17" t="s">
        <v>486</v>
      </c>
      <c r="D120" s="9" t="s">
        <v>236</v>
      </c>
      <c r="E120" s="9" t="s">
        <v>236</v>
      </c>
      <c r="F120" s="9" t="s">
        <v>242</v>
      </c>
      <c r="G120" s="9" t="s">
        <v>242</v>
      </c>
      <c r="H120" s="9" t="str">
        <f t="shared" si="1"/>
        <v>PASS</v>
      </c>
      <c r="I120" s="8" t="s">
        <v>168</v>
      </c>
      <c r="J120" s="8" t="s">
        <v>168</v>
      </c>
      <c r="K120" s="9" t="s">
        <v>242</v>
      </c>
      <c r="L120" s="8"/>
      <c r="M120" s="8" t="s">
        <v>239</v>
      </c>
    </row>
    <row r="121" spans="1:13" x14ac:dyDescent="0.3">
      <c r="A121" s="8" t="s">
        <v>487</v>
      </c>
      <c r="B121" s="8" t="s">
        <v>40</v>
      </c>
      <c r="C121" s="17" t="s">
        <v>488</v>
      </c>
      <c r="D121" s="9" t="s">
        <v>236</v>
      </c>
      <c r="E121" s="9" t="s">
        <v>236</v>
      </c>
      <c r="F121" s="9" t="s">
        <v>242</v>
      </c>
      <c r="G121" s="9" t="s">
        <v>242</v>
      </c>
      <c r="H121" s="9" t="str">
        <f t="shared" si="1"/>
        <v>PASS</v>
      </c>
      <c r="I121" s="8" t="s">
        <v>168</v>
      </c>
      <c r="J121" s="8" t="s">
        <v>168</v>
      </c>
      <c r="K121" s="9" t="s">
        <v>242</v>
      </c>
      <c r="L121" s="8"/>
      <c r="M121" s="8" t="s">
        <v>239</v>
      </c>
    </row>
    <row r="122" spans="1:13" x14ac:dyDescent="0.3">
      <c r="A122" s="8" t="s">
        <v>489</v>
      </c>
      <c r="B122" s="8" t="s">
        <v>40</v>
      </c>
      <c r="C122" s="17" t="s">
        <v>490</v>
      </c>
      <c r="D122" s="9" t="s">
        <v>236</v>
      </c>
      <c r="E122" s="9" t="s">
        <v>236</v>
      </c>
      <c r="F122" s="9" t="s">
        <v>242</v>
      </c>
      <c r="G122" s="9" t="s">
        <v>242</v>
      </c>
      <c r="H122" s="9" t="str">
        <f t="shared" si="1"/>
        <v>PASS</v>
      </c>
      <c r="I122" s="8" t="s">
        <v>168</v>
      </c>
      <c r="J122" s="8" t="s">
        <v>168</v>
      </c>
      <c r="K122" s="9" t="s">
        <v>242</v>
      </c>
      <c r="L122" s="8"/>
      <c r="M122" s="8" t="s">
        <v>239</v>
      </c>
    </row>
    <row r="123" spans="1:13" x14ac:dyDescent="0.3">
      <c r="A123" s="8" t="s">
        <v>491</v>
      </c>
      <c r="B123" s="8" t="s">
        <v>40</v>
      </c>
      <c r="C123" s="17" t="s">
        <v>492</v>
      </c>
      <c r="D123" s="9" t="s">
        <v>236</v>
      </c>
      <c r="E123" s="9" t="s">
        <v>236</v>
      </c>
      <c r="F123" s="9" t="s">
        <v>242</v>
      </c>
      <c r="G123" s="9" t="s">
        <v>242</v>
      </c>
      <c r="H123" s="9" t="str">
        <f t="shared" si="1"/>
        <v>PASS</v>
      </c>
      <c r="I123" s="8" t="s">
        <v>168</v>
      </c>
      <c r="J123" s="8" t="s">
        <v>168</v>
      </c>
      <c r="K123" s="9" t="s">
        <v>242</v>
      </c>
      <c r="L123" s="8"/>
      <c r="M123" s="8" t="s">
        <v>239</v>
      </c>
    </row>
    <row r="124" spans="1:13" x14ac:dyDescent="0.3">
      <c r="A124" s="8" t="s">
        <v>493</v>
      </c>
      <c r="B124" s="8" t="s">
        <v>40</v>
      </c>
      <c r="C124" s="17" t="s">
        <v>494</v>
      </c>
      <c r="D124" s="9" t="s">
        <v>236</v>
      </c>
      <c r="E124" s="9" t="s">
        <v>236</v>
      </c>
      <c r="F124" s="9" t="s">
        <v>242</v>
      </c>
      <c r="G124" s="9" t="s">
        <v>242</v>
      </c>
      <c r="H124" s="9" t="str">
        <f t="shared" si="1"/>
        <v>PASS</v>
      </c>
      <c r="I124" s="8" t="s">
        <v>168</v>
      </c>
      <c r="J124" s="8" t="s">
        <v>168</v>
      </c>
      <c r="K124" s="9" t="s">
        <v>242</v>
      </c>
      <c r="L124" s="8"/>
      <c r="M124" s="8" t="s">
        <v>239</v>
      </c>
    </row>
    <row r="125" spans="1:13" ht="39.6" x14ac:dyDescent="0.3">
      <c r="A125" s="8" t="s">
        <v>495</v>
      </c>
      <c r="B125" s="8" t="s">
        <v>43</v>
      </c>
      <c r="C125" s="17" t="s">
        <v>496</v>
      </c>
      <c r="D125" s="9" t="s">
        <v>236</v>
      </c>
      <c r="E125" s="9" t="s">
        <v>236</v>
      </c>
      <c r="F125" s="9" t="s">
        <v>237</v>
      </c>
      <c r="G125" s="9" t="s">
        <v>237</v>
      </c>
      <c r="H125" s="9" t="str">
        <f t="shared" si="1"/>
        <v>PASS</v>
      </c>
      <c r="I125" s="8" t="s">
        <v>44</v>
      </c>
      <c r="J125" s="8" t="s">
        <v>497</v>
      </c>
      <c r="K125" s="9" t="s">
        <v>237</v>
      </c>
      <c r="L125" s="11" t="s">
        <v>498</v>
      </c>
      <c r="M125" s="8" t="s">
        <v>239</v>
      </c>
    </row>
    <row r="126" spans="1:13" ht="25.2" x14ac:dyDescent="0.3">
      <c r="A126" s="8" t="s">
        <v>499</v>
      </c>
      <c r="B126" s="8" t="s">
        <v>43</v>
      </c>
      <c r="C126" s="17" t="s">
        <v>500</v>
      </c>
      <c r="D126" s="9" t="s">
        <v>236</v>
      </c>
      <c r="E126" s="9" t="s">
        <v>236</v>
      </c>
      <c r="F126" s="9" t="s">
        <v>242</v>
      </c>
      <c r="G126" s="9" t="s">
        <v>242</v>
      </c>
      <c r="H126" s="9" t="str">
        <f t="shared" si="1"/>
        <v>PASS</v>
      </c>
      <c r="I126" s="8" t="s">
        <v>168</v>
      </c>
      <c r="J126" s="8" t="s">
        <v>168</v>
      </c>
      <c r="K126" s="9" t="s">
        <v>242</v>
      </c>
      <c r="L126" s="8"/>
      <c r="M126" s="8" t="s">
        <v>239</v>
      </c>
    </row>
    <row r="127" spans="1:13" ht="39.6" x14ac:dyDescent="0.3">
      <c r="A127" s="8" t="s">
        <v>501</v>
      </c>
      <c r="B127" s="8" t="s">
        <v>43</v>
      </c>
      <c r="C127" s="17" t="s">
        <v>502</v>
      </c>
      <c r="D127" s="9" t="s">
        <v>236</v>
      </c>
      <c r="E127" s="9" t="s">
        <v>236</v>
      </c>
      <c r="F127" s="9" t="s">
        <v>237</v>
      </c>
      <c r="G127" s="9" t="s">
        <v>237</v>
      </c>
      <c r="H127" s="9" t="str">
        <f t="shared" si="1"/>
        <v>PASS</v>
      </c>
      <c r="I127" s="8" t="s">
        <v>44</v>
      </c>
      <c r="J127" s="8" t="s">
        <v>497</v>
      </c>
      <c r="K127" s="9" t="s">
        <v>237</v>
      </c>
      <c r="L127" s="11" t="s">
        <v>498</v>
      </c>
      <c r="M127" s="8" t="s">
        <v>239</v>
      </c>
    </row>
    <row r="128" spans="1:13" ht="25.2" x14ac:dyDescent="0.3">
      <c r="A128" s="8" t="s">
        <v>503</v>
      </c>
      <c r="B128" s="8" t="s">
        <v>43</v>
      </c>
      <c r="C128" s="17" t="s">
        <v>504</v>
      </c>
      <c r="D128" s="9" t="s">
        <v>236</v>
      </c>
      <c r="E128" s="9" t="s">
        <v>236</v>
      </c>
      <c r="F128" s="9" t="s">
        <v>242</v>
      </c>
      <c r="G128" s="9" t="s">
        <v>242</v>
      </c>
      <c r="H128" s="9" t="str">
        <f t="shared" si="1"/>
        <v>PASS</v>
      </c>
      <c r="I128" s="8" t="s">
        <v>168</v>
      </c>
      <c r="J128" s="8" t="s">
        <v>168</v>
      </c>
      <c r="K128" s="9" t="s">
        <v>242</v>
      </c>
      <c r="L128" s="8"/>
      <c r="M128" s="8" t="s">
        <v>239</v>
      </c>
    </row>
    <row r="129" spans="1:13" ht="39.6" x14ac:dyDescent="0.3">
      <c r="A129" s="8" t="s">
        <v>505</v>
      </c>
      <c r="B129" s="8" t="s">
        <v>43</v>
      </c>
      <c r="C129" s="17" t="s">
        <v>506</v>
      </c>
      <c r="D129" s="9" t="s">
        <v>236</v>
      </c>
      <c r="E129" s="9" t="s">
        <v>236</v>
      </c>
      <c r="F129" s="9" t="s">
        <v>237</v>
      </c>
      <c r="G129" s="9" t="s">
        <v>237</v>
      </c>
      <c r="H129" s="9" t="str">
        <f t="shared" si="1"/>
        <v>PASS</v>
      </c>
      <c r="I129" s="8" t="s">
        <v>44</v>
      </c>
      <c r="J129" s="8" t="s">
        <v>497</v>
      </c>
      <c r="K129" s="9" t="s">
        <v>237</v>
      </c>
      <c r="L129" s="11" t="s">
        <v>498</v>
      </c>
      <c r="M129" s="8" t="s">
        <v>239</v>
      </c>
    </row>
    <row r="130" spans="1:13" ht="25.2" x14ac:dyDescent="0.3">
      <c r="A130" s="8" t="s">
        <v>507</v>
      </c>
      <c r="B130" s="8" t="s">
        <v>43</v>
      </c>
      <c r="C130" s="17" t="s">
        <v>508</v>
      </c>
      <c r="D130" s="9" t="s">
        <v>236</v>
      </c>
      <c r="E130" s="9" t="s">
        <v>236</v>
      </c>
      <c r="F130" s="9" t="s">
        <v>242</v>
      </c>
      <c r="G130" s="9" t="s">
        <v>242</v>
      </c>
      <c r="H130" s="9" t="str">
        <f t="shared" ref="H130:H193" si="2">IF(G130=F130,"PASS","FAIL")</f>
        <v>PASS</v>
      </c>
      <c r="I130" s="8" t="s">
        <v>168</v>
      </c>
      <c r="J130" s="8" t="s">
        <v>168</v>
      </c>
      <c r="K130" s="9" t="s">
        <v>242</v>
      </c>
      <c r="L130" s="8"/>
      <c r="M130" s="8" t="s">
        <v>239</v>
      </c>
    </row>
    <row r="131" spans="1:13" ht="39.6" x14ac:dyDescent="0.3">
      <c r="A131" s="8" t="s">
        <v>509</v>
      </c>
      <c r="B131" s="8" t="s">
        <v>43</v>
      </c>
      <c r="C131" s="17" t="s">
        <v>510</v>
      </c>
      <c r="D131" s="9" t="s">
        <v>236</v>
      </c>
      <c r="E131" s="9" t="s">
        <v>236</v>
      </c>
      <c r="F131" s="9" t="s">
        <v>237</v>
      </c>
      <c r="G131" s="9" t="s">
        <v>237</v>
      </c>
      <c r="H131" s="9" t="str">
        <f t="shared" si="2"/>
        <v>PASS</v>
      </c>
      <c r="I131" s="8" t="s">
        <v>44</v>
      </c>
      <c r="J131" s="8" t="s">
        <v>497</v>
      </c>
      <c r="K131" s="9" t="s">
        <v>237</v>
      </c>
      <c r="L131" s="11" t="s">
        <v>498</v>
      </c>
      <c r="M131" s="8" t="s">
        <v>239</v>
      </c>
    </row>
    <row r="132" spans="1:13" ht="25.2" x14ac:dyDescent="0.3">
      <c r="A132" s="8" t="s">
        <v>511</v>
      </c>
      <c r="B132" s="8" t="s">
        <v>43</v>
      </c>
      <c r="C132" s="17" t="s">
        <v>512</v>
      </c>
      <c r="D132" s="9" t="s">
        <v>236</v>
      </c>
      <c r="E132" s="9" t="s">
        <v>236</v>
      </c>
      <c r="F132" s="9" t="s">
        <v>242</v>
      </c>
      <c r="G132" s="9" t="s">
        <v>242</v>
      </c>
      <c r="H132" s="9" t="str">
        <f t="shared" si="2"/>
        <v>PASS</v>
      </c>
      <c r="I132" s="8" t="s">
        <v>168</v>
      </c>
      <c r="J132" s="8" t="s">
        <v>168</v>
      </c>
      <c r="K132" s="9" t="s">
        <v>242</v>
      </c>
      <c r="L132" s="8"/>
      <c r="M132" s="8" t="s">
        <v>239</v>
      </c>
    </row>
    <row r="133" spans="1:13" ht="39.6" x14ac:dyDescent="0.3">
      <c r="A133" s="8" t="s">
        <v>513</v>
      </c>
      <c r="B133" s="8" t="s">
        <v>43</v>
      </c>
      <c r="C133" s="17" t="s">
        <v>514</v>
      </c>
      <c r="D133" s="9" t="s">
        <v>236</v>
      </c>
      <c r="E133" s="9" t="s">
        <v>236</v>
      </c>
      <c r="F133" s="9" t="s">
        <v>237</v>
      </c>
      <c r="G133" s="9" t="s">
        <v>237</v>
      </c>
      <c r="H133" s="9" t="str">
        <f t="shared" si="2"/>
        <v>PASS</v>
      </c>
      <c r="I133" s="8" t="s">
        <v>44</v>
      </c>
      <c r="J133" s="8" t="s">
        <v>497</v>
      </c>
      <c r="K133" s="9" t="s">
        <v>237</v>
      </c>
      <c r="L133" s="11" t="s">
        <v>498</v>
      </c>
      <c r="M133" s="8" t="s">
        <v>239</v>
      </c>
    </row>
    <row r="134" spans="1:13" ht="25.2" x14ac:dyDescent="0.3">
      <c r="A134" s="8" t="s">
        <v>515</v>
      </c>
      <c r="B134" s="8" t="s">
        <v>43</v>
      </c>
      <c r="C134" s="17" t="s">
        <v>516</v>
      </c>
      <c r="D134" s="9" t="s">
        <v>236</v>
      </c>
      <c r="E134" s="9" t="s">
        <v>236</v>
      </c>
      <c r="F134" s="9" t="s">
        <v>242</v>
      </c>
      <c r="G134" s="9" t="s">
        <v>242</v>
      </c>
      <c r="H134" s="9" t="str">
        <f t="shared" si="2"/>
        <v>PASS</v>
      </c>
      <c r="I134" s="8" t="s">
        <v>168</v>
      </c>
      <c r="J134" s="8" t="s">
        <v>168</v>
      </c>
      <c r="K134" s="9" t="s">
        <v>242</v>
      </c>
      <c r="L134" s="8"/>
      <c r="M134" s="8" t="s">
        <v>239</v>
      </c>
    </row>
    <row r="135" spans="1:13" ht="39.6" x14ac:dyDescent="0.3">
      <c r="A135" s="8" t="s">
        <v>517</v>
      </c>
      <c r="B135" s="8" t="s">
        <v>43</v>
      </c>
      <c r="C135" s="17" t="s">
        <v>518</v>
      </c>
      <c r="D135" s="9" t="s">
        <v>236</v>
      </c>
      <c r="E135" s="9" t="s">
        <v>236</v>
      </c>
      <c r="F135" s="9" t="s">
        <v>237</v>
      </c>
      <c r="G135" s="9" t="s">
        <v>237</v>
      </c>
      <c r="H135" s="9" t="str">
        <f t="shared" si="2"/>
        <v>PASS</v>
      </c>
      <c r="I135" s="8" t="s">
        <v>44</v>
      </c>
      <c r="J135" s="8" t="s">
        <v>497</v>
      </c>
      <c r="K135" s="9" t="s">
        <v>237</v>
      </c>
      <c r="L135" s="11" t="s">
        <v>498</v>
      </c>
      <c r="M135" s="8" t="s">
        <v>239</v>
      </c>
    </row>
    <row r="136" spans="1:13" ht="25.2" x14ac:dyDescent="0.3">
      <c r="A136" s="8" t="s">
        <v>519</v>
      </c>
      <c r="B136" s="8" t="s">
        <v>43</v>
      </c>
      <c r="C136" s="17" t="s">
        <v>520</v>
      </c>
      <c r="D136" s="9" t="s">
        <v>236</v>
      </c>
      <c r="E136" s="9" t="s">
        <v>236</v>
      </c>
      <c r="F136" s="9" t="s">
        <v>242</v>
      </c>
      <c r="G136" s="9" t="s">
        <v>242</v>
      </c>
      <c r="H136" s="9" t="str">
        <f t="shared" si="2"/>
        <v>PASS</v>
      </c>
      <c r="I136" s="8" t="s">
        <v>168</v>
      </c>
      <c r="J136" s="8" t="s">
        <v>168</v>
      </c>
      <c r="K136" s="9" t="s">
        <v>242</v>
      </c>
      <c r="L136" s="8"/>
      <c r="M136" s="8" t="s">
        <v>239</v>
      </c>
    </row>
    <row r="137" spans="1:13" ht="39.6" x14ac:dyDescent="0.3">
      <c r="A137" s="8" t="s">
        <v>521</v>
      </c>
      <c r="B137" s="8" t="s">
        <v>43</v>
      </c>
      <c r="C137" s="17" t="s">
        <v>522</v>
      </c>
      <c r="D137" s="9" t="s">
        <v>236</v>
      </c>
      <c r="E137" s="9" t="s">
        <v>236</v>
      </c>
      <c r="F137" s="9" t="s">
        <v>237</v>
      </c>
      <c r="G137" s="9" t="s">
        <v>237</v>
      </c>
      <c r="H137" s="9" t="str">
        <f t="shared" si="2"/>
        <v>PASS</v>
      </c>
      <c r="I137" s="8" t="s">
        <v>44</v>
      </c>
      <c r="J137" s="8" t="s">
        <v>497</v>
      </c>
      <c r="K137" s="9" t="s">
        <v>237</v>
      </c>
      <c r="L137" s="11" t="s">
        <v>498</v>
      </c>
      <c r="M137" s="8" t="s">
        <v>239</v>
      </c>
    </row>
    <row r="138" spans="1:13" ht="25.2" x14ac:dyDescent="0.3">
      <c r="A138" s="8" t="s">
        <v>523</v>
      </c>
      <c r="B138" s="8" t="s">
        <v>43</v>
      </c>
      <c r="C138" s="17" t="s">
        <v>524</v>
      </c>
      <c r="D138" s="9" t="s">
        <v>236</v>
      </c>
      <c r="E138" s="9" t="s">
        <v>236</v>
      </c>
      <c r="F138" s="9" t="s">
        <v>242</v>
      </c>
      <c r="G138" s="9" t="s">
        <v>242</v>
      </c>
      <c r="H138" s="9" t="str">
        <f t="shared" si="2"/>
        <v>PASS</v>
      </c>
      <c r="I138" s="8" t="s">
        <v>168</v>
      </c>
      <c r="J138" s="8" t="s">
        <v>168</v>
      </c>
      <c r="K138" s="9" t="s">
        <v>242</v>
      </c>
      <c r="L138" s="8"/>
      <c r="M138" s="8" t="s">
        <v>239</v>
      </c>
    </row>
    <row r="139" spans="1:13" ht="39.6" x14ac:dyDescent="0.3">
      <c r="A139" s="8" t="s">
        <v>525</v>
      </c>
      <c r="B139" s="8" t="s">
        <v>43</v>
      </c>
      <c r="C139" s="17" t="s">
        <v>526</v>
      </c>
      <c r="D139" s="9" t="s">
        <v>236</v>
      </c>
      <c r="E139" s="9" t="s">
        <v>236</v>
      </c>
      <c r="F139" s="9" t="s">
        <v>237</v>
      </c>
      <c r="G139" s="9" t="s">
        <v>237</v>
      </c>
      <c r="H139" s="9" t="str">
        <f t="shared" si="2"/>
        <v>PASS</v>
      </c>
      <c r="I139" s="8" t="s">
        <v>44</v>
      </c>
      <c r="J139" s="8" t="s">
        <v>497</v>
      </c>
      <c r="K139" s="9" t="s">
        <v>237</v>
      </c>
      <c r="L139" s="11" t="s">
        <v>498</v>
      </c>
      <c r="M139" s="8" t="s">
        <v>239</v>
      </c>
    </row>
    <row r="140" spans="1:13" ht="25.2" x14ac:dyDescent="0.3">
      <c r="A140" s="8" t="s">
        <v>527</v>
      </c>
      <c r="B140" s="8" t="s">
        <v>43</v>
      </c>
      <c r="C140" s="17" t="s">
        <v>528</v>
      </c>
      <c r="D140" s="9" t="s">
        <v>236</v>
      </c>
      <c r="E140" s="9" t="s">
        <v>236</v>
      </c>
      <c r="F140" s="9" t="s">
        <v>242</v>
      </c>
      <c r="G140" s="9" t="s">
        <v>242</v>
      </c>
      <c r="H140" s="9" t="str">
        <f t="shared" si="2"/>
        <v>PASS</v>
      </c>
      <c r="I140" s="8" t="s">
        <v>168</v>
      </c>
      <c r="J140" s="8" t="s">
        <v>168</v>
      </c>
      <c r="K140" s="9" t="s">
        <v>242</v>
      </c>
      <c r="L140" s="8"/>
      <c r="M140" s="8" t="s">
        <v>239</v>
      </c>
    </row>
    <row r="141" spans="1:13" ht="39.6" x14ac:dyDescent="0.3">
      <c r="A141" s="8" t="s">
        <v>529</v>
      </c>
      <c r="B141" s="8" t="s">
        <v>46</v>
      </c>
      <c r="C141" s="17" t="s">
        <v>530</v>
      </c>
      <c r="D141" s="9" t="s">
        <v>236</v>
      </c>
      <c r="E141" s="9" t="s">
        <v>236</v>
      </c>
      <c r="F141" s="9" t="s">
        <v>237</v>
      </c>
      <c r="G141" s="9" t="s">
        <v>237</v>
      </c>
      <c r="H141" s="9" t="str">
        <f t="shared" si="2"/>
        <v>PASS</v>
      </c>
      <c r="I141" s="8" t="s">
        <v>47</v>
      </c>
      <c r="J141" s="8" t="s">
        <v>531</v>
      </c>
      <c r="K141" s="9" t="s">
        <v>237</v>
      </c>
      <c r="L141" s="11" t="s">
        <v>532</v>
      </c>
      <c r="M141" s="8" t="s">
        <v>239</v>
      </c>
    </row>
    <row r="142" spans="1:13" x14ac:dyDescent="0.3">
      <c r="A142" s="8" t="s">
        <v>533</v>
      </c>
      <c r="B142" s="8" t="s">
        <v>46</v>
      </c>
      <c r="C142" s="17" t="s">
        <v>534</v>
      </c>
      <c r="D142" s="9" t="s">
        <v>236</v>
      </c>
      <c r="E142" s="9" t="s">
        <v>236</v>
      </c>
      <c r="F142" s="9" t="s">
        <v>242</v>
      </c>
      <c r="G142" s="9" t="s">
        <v>242</v>
      </c>
      <c r="H142" s="9" t="str">
        <f t="shared" si="2"/>
        <v>PASS</v>
      </c>
      <c r="I142" s="8" t="s">
        <v>168</v>
      </c>
      <c r="J142" s="8" t="s">
        <v>168</v>
      </c>
      <c r="K142" s="9" t="s">
        <v>242</v>
      </c>
      <c r="L142" s="8"/>
      <c r="M142" s="8" t="s">
        <v>239</v>
      </c>
    </row>
    <row r="143" spans="1:13" ht="39.6" x14ac:dyDescent="0.3">
      <c r="A143" s="8" t="s">
        <v>535</v>
      </c>
      <c r="B143" s="8" t="s">
        <v>46</v>
      </c>
      <c r="C143" s="17" t="s">
        <v>536</v>
      </c>
      <c r="D143" s="9" t="s">
        <v>236</v>
      </c>
      <c r="E143" s="9" t="s">
        <v>236</v>
      </c>
      <c r="F143" s="9" t="s">
        <v>237</v>
      </c>
      <c r="G143" s="9" t="s">
        <v>237</v>
      </c>
      <c r="H143" s="9" t="str">
        <f t="shared" si="2"/>
        <v>PASS</v>
      </c>
      <c r="I143" s="8" t="s">
        <v>47</v>
      </c>
      <c r="J143" s="8" t="s">
        <v>531</v>
      </c>
      <c r="K143" s="9" t="s">
        <v>237</v>
      </c>
      <c r="L143" s="11" t="s">
        <v>532</v>
      </c>
      <c r="M143" s="8" t="s">
        <v>239</v>
      </c>
    </row>
    <row r="144" spans="1:13" x14ac:dyDescent="0.3">
      <c r="A144" s="8" t="s">
        <v>537</v>
      </c>
      <c r="B144" s="8" t="s">
        <v>46</v>
      </c>
      <c r="C144" s="17" t="s">
        <v>538</v>
      </c>
      <c r="D144" s="9" t="s">
        <v>236</v>
      </c>
      <c r="E144" s="9" t="s">
        <v>236</v>
      </c>
      <c r="F144" s="9" t="s">
        <v>242</v>
      </c>
      <c r="G144" s="9" t="s">
        <v>242</v>
      </c>
      <c r="H144" s="9" t="str">
        <f t="shared" si="2"/>
        <v>PASS</v>
      </c>
      <c r="I144" s="8" t="s">
        <v>168</v>
      </c>
      <c r="J144" s="8" t="s">
        <v>168</v>
      </c>
      <c r="K144" s="9" t="s">
        <v>242</v>
      </c>
      <c r="L144" s="8"/>
      <c r="M144" s="8" t="s">
        <v>239</v>
      </c>
    </row>
    <row r="145" spans="1:13" ht="39.6" x14ac:dyDescent="0.3">
      <c r="A145" s="8" t="s">
        <v>539</v>
      </c>
      <c r="B145" s="8" t="s">
        <v>46</v>
      </c>
      <c r="C145" s="17" t="s">
        <v>540</v>
      </c>
      <c r="D145" s="9" t="s">
        <v>236</v>
      </c>
      <c r="E145" s="9" t="s">
        <v>236</v>
      </c>
      <c r="F145" s="9" t="s">
        <v>237</v>
      </c>
      <c r="G145" s="9" t="s">
        <v>237</v>
      </c>
      <c r="H145" s="9" t="str">
        <f t="shared" si="2"/>
        <v>PASS</v>
      </c>
      <c r="I145" s="8" t="s">
        <v>47</v>
      </c>
      <c r="J145" s="8" t="s">
        <v>531</v>
      </c>
      <c r="K145" s="9" t="s">
        <v>237</v>
      </c>
      <c r="L145" s="11" t="s">
        <v>532</v>
      </c>
      <c r="M145" s="8" t="s">
        <v>239</v>
      </c>
    </row>
    <row r="146" spans="1:13" x14ac:dyDescent="0.3">
      <c r="A146" s="8" t="s">
        <v>541</v>
      </c>
      <c r="B146" s="8" t="s">
        <v>46</v>
      </c>
      <c r="C146" s="17" t="s">
        <v>542</v>
      </c>
      <c r="D146" s="9" t="s">
        <v>236</v>
      </c>
      <c r="E146" s="9" t="s">
        <v>236</v>
      </c>
      <c r="F146" s="9" t="s">
        <v>242</v>
      </c>
      <c r="G146" s="9" t="s">
        <v>242</v>
      </c>
      <c r="H146" s="9" t="str">
        <f t="shared" si="2"/>
        <v>PASS</v>
      </c>
      <c r="I146" s="8" t="s">
        <v>168</v>
      </c>
      <c r="J146" s="8" t="s">
        <v>168</v>
      </c>
      <c r="K146" s="9" t="s">
        <v>242</v>
      </c>
      <c r="L146" s="8"/>
      <c r="M146" s="8" t="s">
        <v>239</v>
      </c>
    </row>
    <row r="147" spans="1:13" ht="39.6" x14ac:dyDescent="0.3">
      <c r="A147" s="8" t="s">
        <v>543</v>
      </c>
      <c r="B147" s="8" t="s">
        <v>46</v>
      </c>
      <c r="C147" s="17" t="s">
        <v>544</v>
      </c>
      <c r="D147" s="9" t="s">
        <v>236</v>
      </c>
      <c r="E147" s="9" t="s">
        <v>236</v>
      </c>
      <c r="F147" s="9" t="s">
        <v>237</v>
      </c>
      <c r="G147" s="9" t="s">
        <v>237</v>
      </c>
      <c r="H147" s="9" t="str">
        <f t="shared" si="2"/>
        <v>PASS</v>
      </c>
      <c r="I147" s="8" t="s">
        <v>47</v>
      </c>
      <c r="J147" s="8" t="s">
        <v>531</v>
      </c>
      <c r="K147" s="9" t="s">
        <v>237</v>
      </c>
      <c r="L147" s="11" t="s">
        <v>532</v>
      </c>
      <c r="M147" s="8" t="s">
        <v>239</v>
      </c>
    </row>
    <row r="148" spans="1:13" x14ac:dyDescent="0.3">
      <c r="A148" s="8" t="s">
        <v>545</v>
      </c>
      <c r="B148" s="8" t="s">
        <v>46</v>
      </c>
      <c r="C148" s="17" t="s">
        <v>546</v>
      </c>
      <c r="D148" s="9" t="s">
        <v>236</v>
      </c>
      <c r="E148" s="9" t="s">
        <v>236</v>
      </c>
      <c r="F148" s="9" t="s">
        <v>242</v>
      </c>
      <c r="G148" s="9" t="s">
        <v>242</v>
      </c>
      <c r="H148" s="9" t="str">
        <f t="shared" si="2"/>
        <v>PASS</v>
      </c>
      <c r="I148" s="8" t="s">
        <v>168</v>
      </c>
      <c r="J148" s="8" t="s">
        <v>168</v>
      </c>
      <c r="K148" s="9" t="s">
        <v>242</v>
      </c>
      <c r="L148" s="8"/>
      <c r="M148" s="8" t="s">
        <v>239</v>
      </c>
    </row>
    <row r="149" spans="1:13" ht="39.6" x14ac:dyDescent="0.3">
      <c r="A149" s="8" t="s">
        <v>547</v>
      </c>
      <c r="B149" s="8" t="s">
        <v>46</v>
      </c>
      <c r="C149" s="17" t="s">
        <v>548</v>
      </c>
      <c r="D149" s="9" t="s">
        <v>236</v>
      </c>
      <c r="E149" s="9" t="s">
        <v>236</v>
      </c>
      <c r="F149" s="9" t="s">
        <v>237</v>
      </c>
      <c r="G149" s="9" t="s">
        <v>237</v>
      </c>
      <c r="H149" s="9" t="str">
        <f t="shared" si="2"/>
        <v>PASS</v>
      </c>
      <c r="I149" s="8" t="s">
        <v>47</v>
      </c>
      <c r="J149" s="8" t="s">
        <v>531</v>
      </c>
      <c r="K149" s="9" t="s">
        <v>237</v>
      </c>
      <c r="L149" s="11" t="s">
        <v>532</v>
      </c>
      <c r="M149" s="8" t="s">
        <v>239</v>
      </c>
    </row>
    <row r="150" spans="1:13" x14ac:dyDescent="0.3">
      <c r="A150" s="8" t="s">
        <v>549</v>
      </c>
      <c r="B150" s="8" t="s">
        <v>46</v>
      </c>
      <c r="C150" s="17" t="s">
        <v>550</v>
      </c>
      <c r="D150" s="9" t="s">
        <v>236</v>
      </c>
      <c r="E150" s="9" t="s">
        <v>236</v>
      </c>
      <c r="F150" s="9" t="s">
        <v>242</v>
      </c>
      <c r="G150" s="9" t="s">
        <v>242</v>
      </c>
      <c r="H150" s="9" t="str">
        <f t="shared" si="2"/>
        <v>PASS</v>
      </c>
      <c r="I150" s="8" t="s">
        <v>168</v>
      </c>
      <c r="J150" s="8" t="s">
        <v>168</v>
      </c>
      <c r="K150" s="9" t="s">
        <v>242</v>
      </c>
      <c r="L150" s="8"/>
      <c r="M150" s="8" t="s">
        <v>239</v>
      </c>
    </row>
    <row r="151" spans="1:13" ht="39.6" x14ac:dyDescent="0.3">
      <c r="A151" s="8" t="s">
        <v>551</v>
      </c>
      <c r="B151" s="8" t="s">
        <v>46</v>
      </c>
      <c r="C151" s="17" t="s">
        <v>552</v>
      </c>
      <c r="D151" s="9" t="s">
        <v>236</v>
      </c>
      <c r="E151" s="9" t="s">
        <v>236</v>
      </c>
      <c r="F151" s="9" t="s">
        <v>237</v>
      </c>
      <c r="G151" s="9" t="s">
        <v>237</v>
      </c>
      <c r="H151" s="9" t="str">
        <f t="shared" si="2"/>
        <v>PASS</v>
      </c>
      <c r="I151" s="8" t="s">
        <v>47</v>
      </c>
      <c r="J151" s="8" t="s">
        <v>531</v>
      </c>
      <c r="K151" s="9" t="s">
        <v>237</v>
      </c>
      <c r="L151" s="11" t="s">
        <v>532</v>
      </c>
      <c r="M151" s="8" t="s">
        <v>239</v>
      </c>
    </row>
    <row r="152" spans="1:13" x14ac:dyDescent="0.3">
      <c r="A152" s="8" t="s">
        <v>553</v>
      </c>
      <c r="B152" s="8" t="s">
        <v>46</v>
      </c>
      <c r="C152" s="17" t="s">
        <v>554</v>
      </c>
      <c r="D152" s="9" t="s">
        <v>236</v>
      </c>
      <c r="E152" s="9" t="s">
        <v>236</v>
      </c>
      <c r="F152" s="9" t="s">
        <v>242</v>
      </c>
      <c r="G152" s="9" t="s">
        <v>242</v>
      </c>
      <c r="H152" s="9" t="str">
        <f t="shared" si="2"/>
        <v>PASS</v>
      </c>
      <c r="I152" s="8" t="s">
        <v>168</v>
      </c>
      <c r="J152" s="8" t="s">
        <v>168</v>
      </c>
      <c r="K152" s="9" t="s">
        <v>242</v>
      </c>
      <c r="L152" s="8"/>
      <c r="M152" s="8" t="s">
        <v>239</v>
      </c>
    </row>
    <row r="153" spans="1:13" ht="39.6" x14ac:dyDescent="0.3">
      <c r="A153" s="8" t="s">
        <v>555</v>
      </c>
      <c r="B153" s="8" t="s">
        <v>46</v>
      </c>
      <c r="C153" s="17" t="s">
        <v>556</v>
      </c>
      <c r="D153" s="9" t="s">
        <v>236</v>
      </c>
      <c r="E153" s="9" t="s">
        <v>236</v>
      </c>
      <c r="F153" s="9" t="s">
        <v>237</v>
      </c>
      <c r="G153" s="9" t="s">
        <v>237</v>
      </c>
      <c r="H153" s="9" t="str">
        <f t="shared" si="2"/>
        <v>PASS</v>
      </c>
      <c r="I153" s="8" t="s">
        <v>47</v>
      </c>
      <c r="J153" s="8" t="s">
        <v>531</v>
      </c>
      <c r="K153" s="9" t="s">
        <v>237</v>
      </c>
      <c r="L153" s="11" t="s">
        <v>532</v>
      </c>
      <c r="M153" s="8" t="s">
        <v>239</v>
      </c>
    </row>
    <row r="154" spans="1:13" x14ac:dyDescent="0.3">
      <c r="A154" s="8" t="s">
        <v>557</v>
      </c>
      <c r="B154" s="8" t="s">
        <v>46</v>
      </c>
      <c r="C154" s="17" t="s">
        <v>558</v>
      </c>
      <c r="D154" s="9" t="s">
        <v>236</v>
      </c>
      <c r="E154" s="9" t="s">
        <v>236</v>
      </c>
      <c r="F154" s="9" t="s">
        <v>242</v>
      </c>
      <c r="G154" s="9" t="s">
        <v>242</v>
      </c>
      <c r="H154" s="9" t="str">
        <f t="shared" si="2"/>
        <v>PASS</v>
      </c>
      <c r="I154" s="8" t="s">
        <v>168</v>
      </c>
      <c r="J154" s="8" t="s">
        <v>168</v>
      </c>
      <c r="K154" s="9" t="s">
        <v>242</v>
      </c>
      <c r="L154" s="8"/>
      <c r="M154" s="8" t="s">
        <v>239</v>
      </c>
    </row>
    <row r="155" spans="1:13" ht="39.6" x14ac:dyDescent="0.3">
      <c r="A155" s="8" t="s">
        <v>559</v>
      </c>
      <c r="B155" s="8" t="s">
        <v>46</v>
      </c>
      <c r="C155" s="17" t="s">
        <v>560</v>
      </c>
      <c r="D155" s="9" t="s">
        <v>236</v>
      </c>
      <c r="E155" s="9" t="s">
        <v>236</v>
      </c>
      <c r="F155" s="9" t="s">
        <v>237</v>
      </c>
      <c r="G155" s="9" t="s">
        <v>237</v>
      </c>
      <c r="H155" s="9" t="str">
        <f t="shared" si="2"/>
        <v>PASS</v>
      </c>
      <c r="I155" s="8" t="s">
        <v>47</v>
      </c>
      <c r="J155" s="8" t="s">
        <v>531</v>
      </c>
      <c r="K155" s="9" t="s">
        <v>237</v>
      </c>
      <c r="L155" s="11" t="s">
        <v>532</v>
      </c>
      <c r="M155" s="8" t="s">
        <v>239</v>
      </c>
    </row>
    <row r="156" spans="1:13" x14ac:dyDescent="0.3">
      <c r="A156" s="8" t="s">
        <v>561</v>
      </c>
      <c r="B156" s="8" t="s">
        <v>46</v>
      </c>
      <c r="C156" s="17" t="s">
        <v>562</v>
      </c>
      <c r="D156" s="9" t="s">
        <v>236</v>
      </c>
      <c r="E156" s="9" t="s">
        <v>236</v>
      </c>
      <c r="F156" s="9" t="s">
        <v>242</v>
      </c>
      <c r="G156" s="9" t="s">
        <v>242</v>
      </c>
      <c r="H156" s="9" t="str">
        <f t="shared" si="2"/>
        <v>PASS</v>
      </c>
      <c r="I156" s="8" t="s">
        <v>168</v>
      </c>
      <c r="J156" s="8" t="s">
        <v>168</v>
      </c>
      <c r="K156" s="9" t="s">
        <v>242</v>
      </c>
      <c r="L156" s="8"/>
      <c r="M156" s="8" t="s">
        <v>239</v>
      </c>
    </row>
    <row r="157" spans="1:13" ht="26.4" x14ac:dyDescent="0.3">
      <c r="A157" s="8" t="s">
        <v>563</v>
      </c>
      <c r="B157" s="8" t="s">
        <v>49</v>
      </c>
      <c r="C157" s="17" t="s">
        <v>184</v>
      </c>
      <c r="D157" s="9" t="s">
        <v>236</v>
      </c>
      <c r="E157" s="9" t="s">
        <v>236</v>
      </c>
      <c r="F157" s="9" t="s">
        <v>237</v>
      </c>
      <c r="G157" s="9" t="s">
        <v>237</v>
      </c>
      <c r="H157" s="9" t="str">
        <f t="shared" si="2"/>
        <v>PASS</v>
      </c>
      <c r="I157" s="8" t="s">
        <v>49</v>
      </c>
      <c r="J157" s="8" t="s">
        <v>564</v>
      </c>
      <c r="K157" s="9" t="s">
        <v>237</v>
      </c>
      <c r="L157" s="8"/>
      <c r="M157" s="8" t="s">
        <v>239</v>
      </c>
    </row>
    <row r="158" spans="1:13" ht="26.4" x14ac:dyDescent="0.3">
      <c r="A158" s="8" t="s">
        <v>565</v>
      </c>
      <c r="B158" s="8" t="s">
        <v>49</v>
      </c>
      <c r="C158" s="17" t="s">
        <v>566</v>
      </c>
      <c r="D158" s="9" t="s">
        <v>236</v>
      </c>
      <c r="E158" s="9" t="s">
        <v>236</v>
      </c>
      <c r="F158" s="9" t="s">
        <v>237</v>
      </c>
      <c r="G158" s="9" t="s">
        <v>237</v>
      </c>
      <c r="H158" s="9" t="str">
        <f t="shared" si="2"/>
        <v>PASS</v>
      </c>
      <c r="I158" s="8" t="s">
        <v>49</v>
      </c>
      <c r="J158" s="8" t="s">
        <v>567</v>
      </c>
      <c r="K158" s="9" t="s">
        <v>237</v>
      </c>
      <c r="L158" s="11" t="s">
        <v>568</v>
      </c>
      <c r="M158" s="8" t="s">
        <v>239</v>
      </c>
    </row>
    <row r="159" spans="1:13" ht="26.4" x14ac:dyDescent="0.3">
      <c r="A159" s="8" t="s">
        <v>569</v>
      </c>
      <c r="B159" s="8" t="s">
        <v>49</v>
      </c>
      <c r="C159" s="17" t="s">
        <v>570</v>
      </c>
      <c r="D159" s="9" t="s">
        <v>236</v>
      </c>
      <c r="E159" s="9" t="s">
        <v>236</v>
      </c>
      <c r="F159" s="9" t="s">
        <v>237</v>
      </c>
      <c r="G159" s="9" t="s">
        <v>237</v>
      </c>
      <c r="H159" s="9" t="str">
        <f t="shared" si="2"/>
        <v>PASS</v>
      </c>
      <c r="I159" s="8" t="s">
        <v>49</v>
      </c>
      <c r="J159" s="8" t="s">
        <v>571</v>
      </c>
      <c r="K159" s="9" t="s">
        <v>237</v>
      </c>
      <c r="L159" s="8"/>
      <c r="M159" s="8" t="s">
        <v>239</v>
      </c>
    </row>
    <row r="160" spans="1:13" ht="26.4" x14ac:dyDescent="0.3">
      <c r="A160" s="8" t="s">
        <v>572</v>
      </c>
      <c r="B160" s="8" t="s">
        <v>49</v>
      </c>
      <c r="C160" s="17" t="s">
        <v>573</v>
      </c>
      <c r="D160" s="9" t="s">
        <v>236</v>
      </c>
      <c r="E160" s="9" t="s">
        <v>236</v>
      </c>
      <c r="F160" s="9" t="s">
        <v>237</v>
      </c>
      <c r="G160" s="9" t="s">
        <v>237</v>
      </c>
      <c r="H160" s="9" t="str">
        <f t="shared" si="2"/>
        <v>PASS</v>
      </c>
      <c r="I160" s="8" t="s">
        <v>49</v>
      </c>
      <c r="J160" s="8" t="s">
        <v>574</v>
      </c>
      <c r="K160" s="9" t="s">
        <v>237</v>
      </c>
      <c r="L160" s="8"/>
      <c r="M160" s="8" t="s">
        <v>239</v>
      </c>
    </row>
    <row r="161" spans="1:13" ht="26.4" x14ac:dyDescent="0.3">
      <c r="A161" s="8" t="s">
        <v>575</v>
      </c>
      <c r="B161" s="8" t="s">
        <v>49</v>
      </c>
      <c r="C161" s="17" t="s">
        <v>576</v>
      </c>
      <c r="D161" s="9" t="s">
        <v>236</v>
      </c>
      <c r="E161" s="9" t="s">
        <v>236</v>
      </c>
      <c r="F161" s="9" t="s">
        <v>237</v>
      </c>
      <c r="G161" s="9" t="s">
        <v>237</v>
      </c>
      <c r="H161" s="9" t="str">
        <f t="shared" si="2"/>
        <v>PASS</v>
      </c>
      <c r="I161" s="8" t="s">
        <v>49</v>
      </c>
      <c r="J161" s="8" t="s">
        <v>571</v>
      </c>
      <c r="K161" s="9" t="s">
        <v>237</v>
      </c>
      <c r="L161" s="8"/>
      <c r="M161" s="8" t="s">
        <v>239</v>
      </c>
    </row>
    <row r="162" spans="1:13" ht="26.4" x14ac:dyDescent="0.3">
      <c r="A162" s="8" t="s">
        <v>577</v>
      </c>
      <c r="B162" s="8" t="s">
        <v>49</v>
      </c>
      <c r="C162" s="17" t="s">
        <v>578</v>
      </c>
      <c r="D162" s="9" t="s">
        <v>236</v>
      </c>
      <c r="E162" s="9" t="s">
        <v>236</v>
      </c>
      <c r="F162" s="9" t="s">
        <v>237</v>
      </c>
      <c r="G162" s="9" t="s">
        <v>237</v>
      </c>
      <c r="H162" s="9" t="str">
        <f t="shared" si="2"/>
        <v>PASS</v>
      </c>
      <c r="I162" s="8" t="s">
        <v>49</v>
      </c>
      <c r="J162" s="8" t="s">
        <v>564</v>
      </c>
      <c r="K162" s="9" t="s">
        <v>237</v>
      </c>
      <c r="L162" s="8"/>
      <c r="M162" s="8" t="s">
        <v>239</v>
      </c>
    </row>
    <row r="163" spans="1:13" ht="26.4" x14ac:dyDescent="0.3">
      <c r="A163" s="8" t="s">
        <v>579</v>
      </c>
      <c r="B163" s="8" t="s">
        <v>49</v>
      </c>
      <c r="C163" s="17" t="s">
        <v>580</v>
      </c>
      <c r="D163" s="9" t="s">
        <v>236</v>
      </c>
      <c r="E163" s="9" t="s">
        <v>236</v>
      </c>
      <c r="F163" s="9" t="s">
        <v>237</v>
      </c>
      <c r="G163" s="9" t="s">
        <v>237</v>
      </c>
      <c r="H163" s="9" t="str">
        <f t="shared" si="2"/>
        <v>PASS</v>
      </c>
      <c r="I163" s="8" t="s">
        <v>49</v>
      </c>
      <c r="J163" s="8" t="s">
        <v>567</v>
      </c>
      <c r="K163" s="9" t="s">
        <v>237</v>
      </c>
      <c r="L163" s="11" t="s">
        <v>568</v>
      </c>
      <c r="M163" s="8" t="s">
        <v>239</v>
      </c>
    </row>
    <row r="164" spans="1:13" ht="26.4" x14ac:dyDescent="0.3">
      <c r="A164" s="8" t="s">
        <v>581</v>
      </c>
      <c r="B164" s="8" t="s">
        <v>49</v>
      </c>
      <c r="C164" s="17" t="s">
        <v>582</v>
      </c>
      <c r="D164" s="9" t="s">
        <v>236</v>
      </c>
      <c r="E164" s="9" t="s">
        <v>236</v>
      </c>
      <c r="F164" s="9" t="s">
        <v>237</v>
      </c>
      <c r="G164" s="9" t="s">
        <v>237</v>
      </c>
      <c r="H164" s="9" t="str">
        <f t="shared" si="2"/>
        <v>PASS</v>
      </c>
      <c r="I164" s="8" t="s">
        <v>49</v>
      </c>
      <c r="J164" s="8" t="s">
        <v>583</v>
      </c>
      <c r="K164" s="9" t="s">
        <v>237</v>
      </c>
      <c r="L164" s="8"/>
      <c r="M164" s="8" t="s">
        <v>239</v>
      </c>
    </row>
    <row r="165" spans="1:13" ht="26.4" x14ac:dyDescent="0.3">
      <c r="A165" s="8" t="s">
        <v>584</v>
      </c>
      <c r="B165" s="8" t="s">
        <v>49</v>
      </c>
      <c r="C165" s="17" t="s">
        <v>585</v>
      </c>
      <c r="D165" s="9" t="s">
        <v>236</v>
      </c>
      <c r="E165" s="9" t="s">
        <v>236</v>
      </c>
      <c r="F165" s="9" t="s">
        <v>237</v>
      </c>
      <c r="G165" s="9" t="s">
        <v>237</v>
      </c>
      <c r="H165" s="9" t="str">
        <f t="shared" si="2"/>
        <v>PASS</v>
      </c>
      <c r="I165" s="8" t="s">
        <v>49</v>
      </c>
      <c r="J165" s="8" t="s">
        <v>586</v>
      </c>
      <c r="K165" s="9" t="s">
        <v>237</v>
      </c>
      <c r="L165" s="8"/>
      <c r="M165" s="8" t="s">
        <v>239</v>
      </c>
    </row>
    <row r="166" spans="1:13" ht="26.4" x14ac:dyDescent="0.3">
      <c r="A166" s="8" t="s">
        <v>587</v>
      </c>
      <c r="B166" s="8" t="s">
        <v>49</v>
      </c>
      <c r="C166" s="17" t="s">
        <v>588</v>
      </c>
      <c r="D166" s="9" t="s">
        <v>236</v>
      </c>
      <c r="E166" s="9" t="s">
        <v>236</v>
      </c>
      <c r="F166" s="9" t="s">
        <v>237</v>
      </c>
      <c r="G166" s="9" t="s">
        <v>237</v>
      </c>
      <c r="H166" s="9" t="str">
        <f t="shared" si="2"/>
        <v>PASS</v>
      </c>
      <c r="I166" s="8" t="s">
        <v>49</v>
      </c>
      <c r="J166" s="8" t="s">
        <v>574</v>
      </c>
      <c r="K166" s="9" t="s">
        <v>237</v>
      </c>
      <c r="L166" s="8"/>
      <c r="M166" s="8" t="s">
        <v>239</v>
      </c>
    </row>
    <row r="167" spans="1:13" x14ac:dyDescent="0.3">
      <c r="A167" s="8" t="s">
        <v>589</v>
      </c>
      <c r="B167" s="8" t="s">
        <v>49</v>
      </c>
      <c r="C167" s="17" t="s">
        <v>590</v>
      </c>
      <c r="D167" s="9" t="s">
        <v>236</v>
      </c>
      <c r="E167" s="9" t="s">
        <v>236</v>
      </c>
      <c r="F167" s="9" t="s">
        <v>242</v>
      </c>
      <c r="G167" s="9" t="s">
        <v>242</v>
      </c>
      <c r="H167" s="9" t="str">
        <f t="shared" si="2"/>
        <v>PASS</v>
      </c>
      <c r="I167" s="8" t="s">
        <v>168</v>
      </c>
      <c r="J167" s="8" t="s">
        <v>168</v>
      </c>
      <c r="K167" s="9" t="s">
        <v>242</v>
      </c>
      <c r="L167" s="8"/>
      <c r="M167" s="8" t="s">
        <v>239</v>
      </c>
    </row>
    <row r="168" spans="1:13" x14ac:dyDescent="0.3">
      <c r="A168" s="8" t="s">
        <v>591</v>
      </c>
      <c r="B168" s="8" t="s">
        <v>49</v>
      </c>
      <c r="C168" s="17" t="s">
        <v>472</v>
      </c>
      <c r="D168" s="9" t="s">
        <v>236</v>
      </c>
      <c r="E168" s="9" t="s">
        <v>236</v>
      </c>
      <c r="F168" s="9" t="s">
        <v>242</v>
      </c>
      <c r="G168" s="9" t="s">
        <v>242</v>
      </c>
      <c r="H168" s="9" t="str">
        <f t="shared" si="2"/>
        <v>PASS</v>
      </c>
      <c r="I168" s="8" t="s">
        <v>168</v>
      </c>
      <c r="J168" s="8" t="s">
        <v>168</v>
      </c>
      <c r="K168" s="9" t="s">
        <v>242</v>
      </c>
      <c r="L168" s="8"/>
      <c r="M168" s="8" t="s">
        <v>239</v>
      </c>
    </row>
    <row r="169" spans="1:13" x14ac:dyDescent="0.3">
      <c r="A169" s="8" t="s">
        <v>592</v>
      </c>
      <c r="B169" s="8" t="s">
        <v>49</v>
      </c>
      <c r="C169" s="17" t="s">
        <v>593</v>
      </c>
      <c r="D169" s="9" t="s">
        <v>236</v>
      </c>
      <c r="E169" s="9" t="s">
        <v>236</v>
      </c>
      <c r="F169" s="9" t="s">
        <v>242</v>
      </c>
      <c r="G169" s="9" t="s">
        <v>242</v>
      </c>
      <c r="H169" s="9" t="str">
        <f t="shared" si="2"/>
        <v>PASS</v>
      </c>
      <c r="I169" s="8" t="s">
        <v>168</v>
      </c>
      <c r="J169" s="8" t="s">
        <v>168</v>
      </c>
      <c r="K169" s="9" t="s">
        <v>242</v>
      </c>
      <c r="L169" s="8"/>
      <c r="M169" s="8" t="s">
        <v>239</v>
      </c>
    </row>
    <row r="170" spans="1:13" x14ac:dyDescent="0.3">
      <c r="A170" s="8" t="s">
        <v>594</v>
      </c>
      <c r="B170" s="8" t="s">
        <v>49</v>
      </c>
      <c r="C170" s="17" t="s">
        <v>595</v>
      </c>
      <c r="D170" s="9" t="s">
        <v>236</v>
      </c>
      <c r="E170" s="9" t="s">
        <v>236</v>
      </c>
      <c r="F170" s="9" t="s">
        <v>242</v>
      </c>
      <c r="G170" s="9" t="s">
        <v>242</v>
      </c>
      <c r="H170" s="9" t="str">
        <f t="shared" si="2"/>
        <v>PASS</v>
      </c>
      <c r="I170" s="8" t="s">
        <v>168</v>
      </c>
      <c r="J170" s="8" t="s">
        <v>168</v>
      </c>
      <c r="K170" s="9" t="s">
        <v>242</v>
      </c>
      <c r="L170" s="8"/>
      <c r="M170" s="8" t="s">
        <v>239</v>
      </c>
    </row>
    <row r="171" spans="1:13" x14ac:dyDescent="0.3">
      <c r="A171" s="8" t="s">
        <v>596</v>
      </c>
      <c r="B171" s="8" t="s">
        <v>49</v>
      </c>
      <c r="C171" s="17" t="s">
        <v>597</v>
      </c>
      <c r="D171" s="9" t="s">
        <v>236</v>
      </c>
      <c r="E171" s="9" t="s">
        <v>236</v>
      </c>
      <c r="F171" s="9" t="s">
        <v>242</v>
      </c>
      <c r="G171" s="9" t="s">
        <v>242</v>
      </c>
      <c r="H171" s="9" t="str">
        <f t="shared" si="2"/>
        <v>PASS</v>
      </c>
      <c r="I171" s="8" t="s">
        <v>168</v>
      </c>
      <c r="J171" s="8" t="s">
        <v>168</v>
      </c>
      <c r="K171" s="9" t="s">
        <v>242</v>
      </c>
      <c r="L171" s="8"/>
      <c r="M171" s="8" t="s">
        <v>239</v>
      </c>
    </row>
    <row r="172" spans="1:13" x14ac:dyDescent="0.3">
      <c r="A172" s="8" t="s">
        <v>598</v>
      </c>
      <c r="B172" s="8" t="s">
        <v>49</v>
      </c>
      <c r="C172" s="17" t="s">
        <v>599</v>
      </c>
      <c r="D172" s="9" t="s">
        <v>236</v>
      </c>
      <c r="E172" s="9" t="s">
        <v>236</v>
      </c>
      <c r="F172" s="9" t="s">
        <v>242</v>
      </c>
      <c r="G172" s="9" t="s">
        <v>242</v>
      </c>
      <c r="H172" s="9" t="str">
        <f t="shared" si="2"/>
        <v>PASS</v>
      </c>
      <c r="I172" s="8" t="s">
        <v>168</v>
      </c>
      <c r="J172" s="8" t="s">
        <v>168</v>
      </c>
      <c r="K172" s="9" t="s">
        <v>242</v>
      </c>
      <c r="L172" s="8"/>
      <c r="M172" s="8" t="s">
        <v>239</v>
      </c>
    </row>
    <row r="173" spans="1:13" ht="26.4" x14ac:dyDescent="0.3">
      <c r="A173" s="8" t="s">
        <v>600</v>
      </c>
      <c r="B173" s="8" t="s">
        <v>49</v>
      </c>
      <c r="C173" s="17" t="s">
        <v>601</v>
      </c>
      <c r="D173" s="9" t="s">
        <v>236</v>
      </c>
      <c r="E173" s="9" t="s">
        <v>236</v>
      </c>
      <c r="F173" s="9" t="s">
        <v>237</v>
      </c>
      <c r="G173" s="9" t="s">
        <v>237</v>
      </c>
      <c r="H173" s="9" t="str">
        <f t="shared" si="2"/>
        <v>PASS</v>
      </c>
      <c r="I173" s="8" t="s">
        <v>49</v>
      </c>
      <c r="J173" s="8" t="s">
        <v>602</v>
      </c>
      <c r="K173" s="9" t="s">
        <v>237</v>
      </c>
      <c r="L173" s="11" t="s">
        <v>603</v>
      </c>
      <c r="M173" s="8" t="s">
        <v>239</v>
      </c>
    </row>
    <row r="174" spans="1:13" ht="26.4" x14ac:dyDescent="0.3">
      <c r="A174" s="8" t="s">
        <v>604</v>
      </c>
      <c r="B174" s="8" t="s">
        <v>49</v>
      </c>
      <c r="C174" s="17" t="s">
        <v>605</v>
      </c>
      <c r="D174" s="9" t="s">
        <v>236</v>
      </c>
      <c r="E174" s="9" t="s">
        <v>236</v>
      </c>
      <c r="F174" s="9" t="s">
        <v>237</v>
      </c>
      <c r="G174" s="9" t="s">
        <v>237</v>
      </c>
      <c r="H174" s="9" t="str">
        <f t="shared" si="2"/>
        <v>PASS</v>
      </c>
      <c r="I174" s="8" t="s">
        <v>49</v>
      </c>
      <c r="J174" s="8" t="s">
        <v>602</v>
      </c>
      <c r="K174" s="9" t="s">
        <v>237</v>
      </c>
      <c r="L174" s="11" t="s">
        <v>603</v>
      </c>
      <c r="M174" s="8" t="s">
        <v>239</v>
      </c>
    </row>
    <row r="175" spans="1:13" ht="26.4" x14ac:dyDescent="0.3">
      <c r="A175" s="8" t="s">
        <v>606</v>
      </c>
      <c r="B175" s="8" t="s">
        <v>49</v>
      </c>
      <c r="C175" s="17" t="s">
        <v>607</v>
      </c>
      <c r="D175" s="9" t="s">
        <v>236</v>
      </c>
      <c r="E175" s="9" t="s">
        <v>236</v>
      </c>
      <c r="F175" s="9" t="s">
        <v>237</v>
      </c>
      <c r="G175" s="9" t="s">
        <v>237</v>
      </c>
      <c r="H175" s="9" t="str">
        <f t="shared" si="2"/>
        <v>PASS</v>
      </c>
      <c r="I175" s="8" t="s">
        <v>49</v>
      </c>
      <c r="J175" s="8" t="s">
        <v>602</v>
      </c>
      <c r="K175" s="9" t="s">
        <v>237</v>
      </c>
      <c r="L175" s="11" t="s">
        <v>603</v>
      </c>
      <c r="M175" s="8" t="s">
        <v>239</v>
      </c>
    </row>
    <row r="176" spans="1:13" x14ac:dyDescent="0.3">
      <c r="A176" s="8" t="s">
        <v>608</v>
      </c>
      <c r="B176" s="8" t="s">
        <v>51</v>
      </c>
      <c r="C176" s="17" t="s">
        <v>609</v>
      </c>
      <c r="D176" s="9" t="s">
        <v>236</v>
      </c>
      <c r="E176" s="9" t="s">
        <v>236</v>
      </c>
      <c r="F176" s="9" t="s">
        <v>237</v>
      </c>
      <c r="G176" s="9" t="s">
        <v>237</v>
      </c>
      <c r="H176" s="9" t="str">
        <f t="shared" si="2"/>
        <v>PASS</v>
      </c>
      <c r="I176" s="8" t="s">
        <v>20</v>
      </c>
      <c r="J176" s="8" t="s">
        <v>610</v>
      </c>
      <c r="K176" s="9" t="s">
        <v>237</v>
      </c>
      <c r="L176" s="8"/>
      <c r="M176" s="8" t="s">
        <v>239</v>
      </c>
    </row>
    <row r="177" spans="1:13" x14ac:dyDescent="0.3">
      <c r="A177" s="8" t="s">
        <v>611</v>
      </c>
      <c r="B177" s="8" t="s">
        <v>51</v>
      </c>
      <c r="C177" s="17" t="s">
        <v>612</v>
      </c>
      <c r="D177" s="9" t="s">
        <v>236</v>
      </c>
      <c r="E177" s="9" t="s">
        <v>236</v>
      </c>
      <c r="F177" s="9" t="s">
        <v>237</v>
      </c>
      <c r="G177" s="9" t="s">
        <v>237</v>
      </c>
      <c r="H177" s="9" t="str">
        <f t="shared" si="2"/>
        <v>PASS</v>
      </c>
      <c r="I177" s="8" t="s">
        <v>20</v>
      </c>
      <c r="J177" s="8" t="s">
        <v>610</v>
      </c>
      <c r="K177" s="9" t="s">
        <v>237</v>
      </c>
      <c r="L177" s="8"/>
      <c r="M177" s="8" t="s">
        <v>239</v>
      </c>
    </row>
    <row r="178" spans="1:13" x14ac:dyDescent="0.3">
      <c r="A178" s="8" t="s">
        <v>613</v>
      </c>
      <c r="B178" s="8" t="s">
        <v>51</v>
      </c>
      <c r="C178" s="17" t="s">
        <v>614</v>
      </c>
      <c r="D178" s="9" t="s">
        <v>236</v>
      </c>
      <c r="E178" s="9" t="s">
        <v>236</v>
      </c>
      <c r="F178" s="9" t="s">
        <v>237</v>
      </c>
      <c r="G178" s="9" t="s">
        <v>237</v>
      </c>
      <c r="H178" s="9" t="str">
        <f t="shared" si="2"/>
        <v>PASS</v>
      </c>
      <c r="I178" s="8" t="s">
        <v>20</v>
      </c>
      <c r="J178" s="8" t="s">
        <v>615</v>
      </c>
      <c r="K178" s="9" t="s">
        <v>237</v>
      </c>
      <c r="L178" s="8"/>
      <c r="M178" s="8" t="s">
        <v>239</v>
      </c>
    </row>
    <row r="179" spans="1:13" x14ac:dyDescent="0.3">
      <c r="A179" s="8" t="s">
        <v>616</v>
      </c>
      <c r="B179" s="8" t="s">
        <v>51</v>
      </c>
      <c r="C179" s="17" t="s">
        <v>617</v>
      </c>
      <c r="D179" s="9" t="s">
        <v>236</v>
      </c>
      <c r="E179" s="9" t="s">
        <v>236</v>
      </c>
      <c r="F179" s="9" t="s">
        <v>237</v>
      </c>
      <c r="G179" s="9" t="s">
        <v>237</v>
      </c>
      <c r="H179" s="9" t="str">
        <f t="shared" si="2"/>
        <v>PASS</v>
      </c>
      <c r="I179" s="8" t="s">
        <v>20</v>
      </c>
      <c r="J179" s="8" t="s">
        <v>615</v>
      </c>
      <c r="K179" s="9" t="s">
        <v>237</v>
      </c>
      <c r="L179" s="8"/>
      <c r="M179" s="8" t="s">
        <v>239</v>
      </c>
    </row>
    <row r="180" spans="1:13" x14ac:dyDescent="0.3">
      <c r="A180" s="8" t="s">
        <v>618</v>
      </c>
      <c r="B180" s="8" t="s">
        <v>51</v>
      </c>
      <c r="C180" s="17" t="s">
        <v>619</v>
      </c>
      <c r="D180" s="9" t="s">
        <v>236</v>
      </c>
      <c r="E180" s="9" t="s">
        <v>236</v>
      </c>
      <c r="F180" s="9" t="s">
        <v>237</v>
      </c>
      <c r="G180" s="9" t="s">
        <v>237</v>
      </c>
      <c r="H180" s="9" t="str">
        <f t="shared" si="2"/>
        <v>PASS</v>
      </c>
      <c r="I180" s="8" t="s">
        <v>20</v>
      </c>
      <c r="J180" s="8" t="s">
        <v>620</v>
      </c>
      <c r="K180" s="9" t="s">
        <v>237</v>
      </c>
      <c r="L180" s="8"/>
      <c r="M180" s="8" t="s">
        <v>239</v>
      </c>
    </row>
    <row r="181" spans="1:13" ht="26.4" x14ac:dyDescent="0.3">
      <c r="A181" s="8" t="s">
        <v>621</v>
      </c>
      <c r="B181" s="8" t="s">
        <v>53</v>
      </c>
      <c r="C181" s="17" t="s">
        <v>622</v>
      </c>
      <c r="D181" s="9" t="s">
        <v>236</v>
      </c>
      <c r="E181" s="9" t="s">
        <v>236</v>
      </c>
      <c r="F181" s="9" t="s">
        <v>237</v>
      </c>
      <c r="G181" s="9" t="s">
        <v>237</v>
      </c>
      <c r="H181" s="9" t="str">
        <f t="shared" si="2"/>
        <v>PASS</v>
      </c>
      <c r="I181" s="8" t="s">
        <v>49</v>
      </c>
      <c r="J181" s="8" t="s">
        <v>623</v>
      </c>
      <c r="K181" s="9" t="s">
        <v>237</v>
      </c>
      <c r="L181" s="8"/>
      <c r="M181" s="8" t="s">
        <v>239</v>
      </c>
    </row>
    <row r="182" spans="1:13" ht="26.4" x14ac:dyDescent="0.3">
      <c r="A182" s="8" t="s">
        <v>624</v>
      </c>
      <c r="B182" s="8" t="s">
        <v>53</v>
      </c>
      <c r="C182" s="17" t="s">
        <v>625</v>
      </c>
      <c r="D182" s="9" t="s">
        <v>236</v>
      </c>
      <c r="E182" s="9" t="s">
        <v>236</v>
      </c>
      <c r="F182" s="9" t="s">
        <v>237</v>
      </c>
      <c r="G182" s="9" t="s">
        <v>237</v>
      </c>
      <c r="H182" s="9" t="str">
        <f t="shared" si="2"/>
        <v>PASS</v>
      </c>
      <c r="I182" s="8" t="s">
        <v>49</v>
      </c>
      <c r="J182" s="8" t="s">
        <v>626</v>
      </c>
      <c r="K182" s="9" t="s">
        <v>237</v>
      </c>
      <c r="L182" s="8"/>
      <c r="M182" s="8" t="s">
        <v>239</v>
      </c>
    </row>
    <row r="183" spans="1:13" ht="26.4" x14ac:dyDescent="0.3">
      <c r="A183" s="8" t="s">
        <v>627</v>
      </c>
      <c r="B183" s="8" t="s">
        <v>53</v>
      </c>
      <c r="C183" s="17" t="s">
        <v>628</v>
      </c>
      <c r="D183" s="9" t="s">
        <v>236</v>
      </c>
      <c r="E183" s="9" t="s">
        <v>236</v>
      </c>
      <c r="F183" s="9" t="s">
        <v>237</v>
      </c>
      <c r="G183" s="9" t="s">
        <v>237</v>
      </c>
      <c r="H183" s="9" t="str">
        <f t="shared" si="2"/>
        <v>PASS</v>
      </c>
      <c r="I183" s="8" t="s">
        <v>49</v>
      </c>
      <c r="J183" s="8" t="s">
        <v>629</v>
      </c>
      <c r="K183" s="9" t="s">
        <v>237</v>
      </c>
      <c r="L183" s="11" t="s">
        <v>630</v>
      </c>
      <c r="M183" s="8" t="s">
        <v>239</v>
      </c>
    </row>
    <row r="184" spans="1:13" ht="26.4" x14ac:dyDescent="0.3">
      <c r="A184" s="8" t="s">
        <v>631</v>
      </c>
      <c r="B184" s="8" t="s">
        <v>53</v>
      </c>
      <c r="C184" s="17" t="s">
        <v>632</v>
      </c>
      <c r="D184" s="9" t="s">
        <v>236</v>
      </c>
      <c r="E184" s="9" t="s">
        <v>236</v>
      </c>
      <c r="F184" s="9" t="s">
        <v>237</v>
      </c>
      <c r="G184" s="9" t="s">
        <v>237</v>
      </c>
      <c r="H184" s="9" t="str">
        <f t="shared" si="2"/>
        <v>PASS</v>
      </c>
      <c r="I184" s="8" t="s">
        <v>49</v>
      </c>
      <c r="J184" s="8" t="s">
        <v>633</v>
      </c>
      <c r="K184" s="9" t="s">
        <v>237</v>
      </c>
      <c r="L184" s="11" t="s">
        <v>634</v>
      </c>
      <c r="M184" s="8" t="s">
        <v>239</v>
      </c>
    </row>
    <row r="185" spans="1:13" ht="26.4" x14ac:dyDescent="0.3">
      <c r="A185" s="8" t="s">
        <v>635</v>
      </c>
      <c r="B185" s="8" t="s">
        <v>53</v>
      </c>
      <c r="C185" s="17" t="s">
        <v>636</v>
      </c>
      <c r="D185" s="9" t="s">
        <v>236</v>
      </c>
      <c r="E185" s="9" t="s">
        <v>236</v>
      </c>
      <c r="F185" s="9" t="s">
        <v>237</v>
      </c>
      <c r="G185" s="9" t="s">
        <v>237</v>
      </c>
      <c r="H185" s="9" t="str">
        <f t="shared" si="2"/>
        <v>PASS</v>
      </c>
      <c r="I185" s="8" t="s">
        <v>49</v>
      </c>
      <c r="J185" s="8" t="s">
        <v>623</v>
      </c>
      <c r="K185" s="9" t="s">
        <v>237</v>
      </c>
      <c r="L185" s="8"/>
      <c r="M185" s="8" t="s">
        <v>239</v>
      </c>
    </row>
    <row r="186" spans="1:13" x14ac:dyDescent="0.3">
      <c r="A186" s="8" t="s">
        <v>637</v>
      </c>
      <c r="B186" s="8" t="s">
        <v>53</v>
      </c>
      <c r="C186" s="17" t="s">
        <v>599</v>
      </c>
      <c r="D186" s="9" t="s">
        <v>236</v>
      </c>
      <c r="E186" s="9" t="s">
        <v>236</v>
      </c>
      <c r="F186" s="9" t="s">
        <v>242</v>
      </c>
      <c r="G186" s="9" t="s">
        <v>242</v>
      </c>
      <c r="H186" s="9" t="str">
        <f t="shared" si="2"/>
        <v>PASS</v>
      </c>
      <c r="I186" s="8" t="s">
        <v>168</v>
      </c>
      <c r="J186" s="8" t="s">
        <v>168</v>
      </c>
      <c r="K186" s="9" t="s">
        <v>242</v>
      </c>
      <c r="L186" s="8"/>
      <c r="M186" s="8" t="s">
        <v>239</v>
      </c>
    </row>
    <row r="187" spans="1:13" x14ac:dyDescent="0.3">
      <c r="A187" s="8" t="s">
        <v>638</v>
      </c>
      <c r="B187" s="8" t="s">
        <v>53</v>
      </c>
      <c r="C187" s="17" t="s">
        <v>639</v>
      </c>
      <c r="D187" s="9" t="s">
        <v>236</v>
      </c>
      <c r="E187" s="9" t="s">
        <v>236</v>
      </c>
      <c r="F187" s="9" t="s">
        <v>242</v>
      </c>
      <c r="G187" s="9" t="s">
        <v>242</v>
      </c>
      <c r="H187" s="9" t="str">
        <f t="shared" si="2"/>
        <v>PASS</v>
      </c>
      <c r="I187" s="8" t="s">
        <v>168</v>
      </c>
      <c r="J187" s="8" t="s">
        <v>168</v>
      </c>
      <c r="K187" s="9" t="s">
        <v>242</v>
      </c>
      <c r="L187" s="8"/>
      <c r="M187" s="8" t="s">
        <v>239</v>
      </c>
    </row>
    <row r="188" spans="1:13" ht="25.2" x14ac:dyDescent="0.3">
      <c r="A188" s="8" t="s">
        <v>640</v>
      </c>
      <c r="B188" s="8" t="s">
        <v>55</v>
      </c>
      <c r="C188" s="17" t="s">
        <v>641</v>
      </c>
      <c r="D188" s="9" t="s">
        <v>236</v>
      </c>
      <c r="E188" s="9" t="s">
        <v>236</v>
      </c>
      <c r="F188" s="9" t="s">
        <v>237</v>
      </c>
      <c r="G188" s="9" t="s">
        <v>237</v>
      </c>
      <c r="H188" s="9" t="str">
        <f t="shared" si="2"/>
        <v>PASS</v>
      </c>
      <c r="I188" s="8" t="s">
        <v>47</v>
      </c>
      <c r="J188" s="8" t="s">
        <v>531</v>
      </c>
      <c r="K188" s="9" t="s">
        <v>237</v>
      </c>
      <c r="L188" s="8"/>
      <c r="M188" s="8" t="s">
        <v>239</v>
      </c>
    </row>
    <row r="189" spans="1:13" ht="25.2" x14ac:dyDescent="0.3">
      <c r="A189" s="8" t="s">
        <v>642</v>
      </c>
      <c r="B189" s="8" t="s">
        <v>55</v>
      </c>
      <c r="C189" s="17" t="s">
        <v>643</v>
      </c>
      <c r="D189" s="9" t="s">
        <v>236</v>
      </c>
      <c r="E189" s="9" t="s">
        <v>236</v>
      </c>
      <c r="F189" s="9" t="s">
        <v>242</v>
      </c>
      <c r="G189" s="9" t="s">
        <v>242</v>
      </c>
      <c r="H189" s="9" t="str">
        <f t="shared" si="2"/>
        <v>PASS</v>
      </c>
      <c r="I189" s="8" t="s">
        <v>168</v>
      </c>
      <c r="J189" s="8" t="s">
        <v>168</v>
      </c>
      <c r="K189" s="9" t="s">
        <v>242</v>
      </c>
      <c r="L189" s="8"/>
      <c r="M189" s="8" t="s">
        <v>239</v>
      </c>
    </row>
    <row r="190" spans="1:13" ht="25.2" x14ac:dyDescent="0.3">
      <c r="A190" s="8" t="s">
        <v>644</v>
      </c>
      <c r="B190" s="8" t="s">
        <v>55</v>
      </c>
      <c r="C190" s="17" t="s">
        <v>645</v>
      </c>
      <c r="D190" s="9" t="s">
        <v>236</v>
      </c>
      <c r="E190" s="9" t="s">
        <v>236</v>
      </c>
      <c r="F190" s="9" t="s">
        <v>237</v>
      </c>
      <c r="G190" s="9" t="s">
        <v>237</v>
      </c>
      <c r="H190" s="9" t="str">
        <f t="shared" si="2"/>
        <v>PASS</v>
      </c>
      <c r="I190" s="8" t="s">
        <v>47</v>
      </c>
      <c r="J190" s="8" t="s">
        <v>531</v>
      </c>
      <c r="K190" s="9" t="s">
        <v>237</v>
      </c>
      <c r="L190" s="8"/>
      <c r="M190" s="8" t="s">
        <v>239</v>
      </c>
    </row>
    <row r="191" spans="1:13" ht="25.2" x14ac:dyDescent="0.3">
      <c r="A191" s="8" t="s">
        <v>646</v>
      </c>
      <c r="B191" s="8" t="s">
        <v>55</v>
      </c>
      <c r="C191" s="17" t="s">
        <v>647</v>
      </c>
      <c r="D191" s="9" t="s">
        <v>236</v>
      </c>
      <c r="E191" s="9" t="s">
        <v>236</v>
      </c>
      <c r="F191" s="9" t="s">
        <v>242</v>
      </c>
      <c r="G191" s="9" t="s">
        <v>242</v>
      </c>
      <c r="H191" s="9" t="str">
        <f t="shared" si="2"/>
        <v>PASS</v>
      </c>
      <c r="I191" s="8" t="s">
        <v>168</v>
      </c>
      <c r="J191" s="8" t="s">
        <v>168</v>
      </c>
      <c r="K191" s="9" t="s">
        <v>242</v>
      </c>
      <c r="L191" s="8"/>
      <c r="M191" s="8" t="s">
        <v>239</v>
      </c>
    </row>
    <row r="192" spans="1:13" ht="25.2" x14ac:dyDescent="0.3">
      <c r="A192" s="8" t="s">
        <v>648</v>
      </c>
      <c r="B192" s="8" t="s">
        <v>55</v>
      </c>
      <c r="C192" s="17" t="s">
        <v>649</v>
      </c>
      <c r="D192" s="9" t="s">
        <v>236</v>
      </c>
      <c r="E192" s="9" t="s">
        <v>236</v>
      </c>
      <c r="F192" s="9" t="s">
        <v>237</v>
      </c>
      <c r="G192" s="9" t="s">
        <v>237</v>
      </c>
      <c r="H192" s="9" t="str">
        <f t="shared" si="2"/>
        <v>PASS</v>
      </c>
      <c r="I192" s="8" t="s">
        <v>47</v>
      </c>
      <c r="J192" s="8" t="s">
        <v>531</v>
      </c>
      <c r="K192" s="9" t="s">
        <v>237</v>
      </c>
      <c r="L192" s="8"/>
      <c r="M192" s="8" t="s">
        <v>239</v>
      </c>
    </row>
    <row r="193" spans="1:13" ht="25.2" x14ac:dyDescent="0.3">
      <c r="A193" s="8" t="s">
        <v>650</v>
      </c>
      <c r="B193" s="8" t="s">
        <v>55</v>
      </c>
      <c r="C193" s="17" t="s">
        <v>651</v>
      </c>
      <c r="D193" s="9" t="s">
        <v>236</v>
      </c>
      <c r="E193" s="9" t="s">
        <v>236</v>
      </c>
      <c r="F193" s="9" t="s">
        <v>242</v>
      </c>
      <c r="G193" s="9" t="s">
        <v>242</v>
      </c>
      <c r="H193" s="9" t="str">
        <f t="shared" si="2"/>
        <v>PASS</v>
      </c>
      <c r="I193" s="8" t="s">
        <v>168</v>
      </c>
      <c r="J193" s="8" t="s">
        <v>168</v>
      </c>
      <c r="K193" s="9" t="s">
        <v>242</v>
      </c>
      <c r="L193" s="8"/>
      <c r="M193" s="8" t="s">
        <v>239</v>
      </c>
    </row>
    <row r="194" spans="1:13" ht="25.2" x14ac:dyDescent="0.3">
      <c r="A194" s="8" t="s">
        <v>652</v>
      </c>
      <c r="B194" s="8" t="s">
        <v>55</v>
      </c>
      <c r="C194" s="17" t="s">
        <v>653</v>
      </c>
      <c r="D194" s="9" t="s">
        <v>236</v>
      </c>
      <c r="E194" s="9" t="s">
        <v>236</v>
      </c>
      <c r="F194" s="9" t="s">
        <v>237</v>
      </c>
      <c r="G194" s="9" t="s">
        <v>237</v>
      </c>
      <c r="H194" s="9" t="str">
        <f t="shared" ref="H194:H257" si="3">IF(G194=F194,"PASS","FAIL")</f>
        <v>PASS</v>
      </c>
      <c r="I194" s="8" t="s">
        <v>47</v>
      </c>
      <c r="J194" s="8" t="s">
        <v>531</v>
      </c>
      <c r="K194" s="9" t="s">
        <v>237</v>
      </c>
      <c r="L194" s="8"/>
      <c r="M194" s="8" t="s">
        <v>239</v>
      </c>
    </row>
    <row r="195" spans="1:13" ht="25.2" x14ac:dyDescent="0.3">
      <c r="A195" s="8" t="s">
        <v>654</v>
      </c>
      <c r="B195" s="8" t="s">
        <v>55</v>
      </c>
      <c r="C195" s="17" t="s">
        <v>655</v>
      </c>
      <c r="D195" s="9" t="s">
        <v>236</v>
      </c>
      <c r="E195" s="9" t="s">
        <v>236</v>
      </c>
      <c r="F195" s="9" t="s">
        <v>242</v>
      </c>
      <c r="G195" s="9" t="s">
        <v>242</v>
      </c>
      <c r="H195" s="9" t="str">
        <f t="shared" si="3"/>
        <v>PASS</v>
      </c>
      <c r="I195" s="8" t="s">
        <v>168</v>
      </c>
      <c r="J195" s="8" t="s">
        <v>168</v>
      </c>
      <c r="K195" s="9" t="s">
        <v>242</v>
      </c>
      <c r="L195" s="8"/>
      <c r="M195" s="8" t="s">
        <v>239</v>
      </c>
    </row>
    <row r="196" spans="1:13" ht="26.4" x14ac:dyDescent="0.3">
      <c r="A196" s="8" t="s">
        <v>656</v>
      </c>
      <c r="B196" s="8" t="s">
        <v>57</v>
      </c>
      <c r="C196" s="17" t="s">
        <v>657</v>
      </c>
      <c r="D196" s="9" t="s">
        <v>236</v>
      </c>
      <c r="E196" s="9" t="s">
        <v>236</v>
      </c>
      <c r="F196" s="9" t="s">
        <v>237</v>
      </c>
      <c r="G196" s="9" t="s">
        <v>237</v>
      </c>
      <c r="H196" s="9" t="str">
        <f t="shared" si="3"/>
        <v>PASS</v>
      </c>
      <c r="I196" s="8" t="s">
        <v>49</v>
      </c>
      <c r="J196" s="8" t="s">
        <v>571</v>
      </c>
      <c r="K196" s="9" t="s">
        <v>237</v>
      </c>
      <c r="L196" s="8"/>
      <c r="M196" s="8" t="s">
        <v>239</v>
      </c>
    </row>
    <row r="197" spans="1:13" ht="26.4" x14ac:dyDescent="0.3">
      <c r="A197" s="8" t="s">
        <v>658</v>
      </c>
      <c r="B197" s="8" t="s">
        <v>57</v>
      </c>
      <c r="C197" s="17" t="s">
        <v>659</v>
      </c>
      <c r="D197" s="9" t="s">
        <v>236</v>
      </c>
      <c r="E197" s="9" t="s">
        <v>236</v>
      </c>
      <c r="F197" s="9" t="s">
        <v>242</v>
      </c>
      <c r="G197" s="9" t="s">
        <v>242</v>
      </c>
      <c r="H197" s="9" t="str">
        <f t="shared" si="3"/>
        <v>PASS</v>
      </c>
      <c r="I197" s="8" t="s">
        <v>168</v>
      </c>
      <c r="J197" s="8" t="s">
        <v>168</v>
      </c>
      <c r="K197" s="9" t="s">
        <v>242</v>
      </c>
      <c r="L197" s="8"/>
      <c r="M197" s="8" t="s">
        <v>239</v>
      </c>
    </row>
    <row r="198" spans="1:13" ht="26.4" x14ac:dyDescent="0.3">
      <c r="A198" s="8" t="s">
        <v>660</v>
      </c>
      <c r="B198" s="8" t="s">
        <v>57</v>
      </c>
      <c r="C198" s="17" t="s">
        <v>661</v>
      </c>
      <c r="D198" s="9" t="s">
        <v>236</v>
      </c>
      <c r="E198" s="9" t="s">
        <v>236</v>
      </c>
      <c r="F198" s="9" t="s">
        <v>237</v>
      </c>
      <c r="G198" s="9" t="s">
        <v>237</v>
      </c>
      <c r="H198" s="9" t="str">
        <f t="shared" si="3"/>
        <v>PASS</v>
      </c>
      <c r="I198" s="8" t="s">
        <v>49</v>
      </c>
      <c r="J198" s="8" t="s">
        <v>571</v>
      </c>
      <c r="K198" s="9" t="s">
        <v>237</v>
      </c>
      <c r="L198" s="8"/>
      <c r="M198" s="8" t="s">
        <v>239</v>
      </c>
    </row>
    <row r="199" spans="1:13" ht="26.4" x14ac:dyDescent="0.3">
      <c r="A199" s="8" t="s">
        <v>662</v>
      </c>
      <c r="B199" s="8" t="s">
        <v>57</v>
      </c>
      <c r="C199" s="17" t="s">
        <v>663</v>
      </c>
      <c r="D199" s="9" t="s">
        <v>236</v>
      </c>
      <c r="E199" s="9" t="s">
        <v>236</v>
      </c>
      <c r="F199" s="9" t="s">
        <v>242</v>
      </c>
      <c r="G199" s="9" t="s">
        <v>242</v>
      </c>
      <c r="H199" s="9" t="str">
        <f t="shared" si="3"/>
        <v>PASS</v>
      </c>
      <c r="I199" s="8" t="s">
        <v>168</v>
      </c>
      <c r="J199" s="8" t="s">
        <v>168</v>
      </c>
      <c r="K199" s="9" t="s">
        <v>242</v>
      </c>
      <c r="L199" s="8"/>
      <c r="M199" s="8" t="s">
        <v>239</v>
      </c>
    </row>
    <row r="200" spans="1:13" ht="26.4" x14ac:dyDescent="0.3">
      <c r="A200" s="8" t="s">
        <v>664</v>
      </c>
      <c r="B200" s="8" t="s">
        <v>57</v>
      </c>
      <c r="C200" s="17" t="s">
        <v>665</v>
      </c>
      <c r="D200" s="9" t="s">
        <v>236</v>
      </c>
      <c r="E200" s="9" t="s">
        <v>236</v>
      </c>
      <c r="F200" s="9" t="s">
        <v>237</v>
      </c>
      <c r="G200" s="9" t="s">
        <v>237</v>
      </c>
      <c r="H200" s="9" t="str">
        <f t="shared" si="3"/>
        <v>PASS</v>
      </c>
      <c r="I200" s="8" t="s">
        <v>49</v>
      </c>
      <c r="J200" s="8" t="s">
        <v>571</v>
      </c>
      <c r="K200" s="9" t="s">
        <v>237</v>
      </c>
      <c r="L200" s="8"/>
      <c r="M200" s="8" t="s">
        <v>239</v>
      </c>
    </row>
    <row r="201" spans="1:13" ht="26.4" x14ac:dyDescent="0.3">
      <c r="A201" s="8" t="s">
        <v>666</v>
      </c>
      <c r="B201" s="8" t="s">
        <v>57</v>
      </c>
      <c r="C201" s="17" t="s">
        <v>667</v>
      </c>
      <c r="D201" s="9" t="s">
        <v>236</v>
      </c>
      <c r="E201" s="9" t="s">
        <v>236</v>
      </c>
      <c r="F201" s="9" t="s">
        <v>242</v>
      </c>
      <c r="G201" s="9" t="s">
        <v>242</v>
      </c>
      <c r="H201" s="9" t="str">
        <f t="shared" si="3"/>
        <v>PASS</v>
      </c>
      <c r="I201" s="8" t="s">
        <v>168</v>
      </c>
      <c r="J201" s="8" t="s">
        <v>168</v>
      </c>
      <c r="K201" s="9" t="s">
        <v>242</v>
      </c>
      <c r="L201" s="8"/>
      <c r="M201" s="8" t="s">
        <v>239</v>
      </c>
    </row>
    <row r="202" spans="1:13" ht="26.4" x14ac:dyDescent="0.3">
      <c r="A202" s="8" t="s">
        <v>668</v>
      </c>
      <c r="B202" s="8" t="s">
        <v>57</v>
      </c>
      <c r="C202" s="17" t="s">
        <v>669</v>
      </c>
      <c r="D202" s="9" t="s">
        <v>236</v>
      </c>
      <c r="E202" s="9" t="s">
        <v>236</v>
      </c>
      <c r="F202" s="9" t="s">
        <v>237</v>
      </c>
      <c r="G202" s="9" t="s">
        <v>237</v>
      </c>
      <c r="H202" s="9" t="str">
        <f t="shared" si="3"/>
        <v>PASS</v>
      </c>
      <c r="I202" s="8" t="s">
        <v>49</v>
      </c>
      <c r="J202" s="8" t="s">
        <v>571</v>
      </c>
      <c r="K202" s="9" t="s">
        <v>237</v>
      </c>
      <c r="L202" s="8"/>
      <c r="M202" s="8" t="s">
        <v>239</v>
      </c>
    </row>
    <row r="203" spans="1:13" ht="26.4" x14ac:dyDescent="0.3">
      <c r="A203" s="8" t="s">
        <v>670</v>
      </c>
      <c r="B203" s="8" t="s">
        <v>57</v>
      </c>
      <c r="C203" s="17" t="s">
        <v>671</v>
      </c>
      <c r="D203" s="9" t="s">
        <v>236</v>
      </c>
      <c r="E203" s="9" t="s">
        <v>236</v>
      </c>
      <c r="F203" s="9" t="s">
        <v>242</v>
      </c>
      <c r="G203" s="9" t="s">
        <v>242</v>
      </c>
      <c r="H203" s="9" t="str">
        <f t="shared" si="3"/>
        <v>PASS</v>
      </c>
      <c r="I203" s="8" t="s">
        <v>168</v>
      </c>
      <c r="J203" s="8" t="s">
        <v>168</v>
      </c>
      <c r="K203" s="9" t="s">
        <v>242</v>
      </c>
      <c r="L203" s="8"/>
      <c r="M203" s="8" t="s">
        <v>239</v>
      </c>
    </row>
    <row r="204" spans="1:13" ht="50.4" x14ac:dyDescent="0.3">
      <c r="A204" s="8" t="s">
        <v>672</v>
      </c>
      <c r="B204" s="8" t="s">
        <v>59</v>
      </c>
      <c r="C204" s="17" t="s">
        <v>673</v>
      </c>
      <c r="D204" s="9" t="s">
        <v>236</v>
      </c>
      <c r="E204" s="9" t="s">
        <v>236</v>
      </c>
      <c r="F204" s="9" t="s">
        <v>237</v>
      </c>
      <c r="G204" s="9" t="s">
        <v>237</v>
      </c>
      <c r="H204" s="9" t="str">
        <f t="shared" si="3"/>
        <v>PASS</v>
      </c>
      <c r="I204" s="8" t="s">
        <v>60</v>
      </c>
      <c r="J204" s="8" t="s">
        <v>674</v>
      </c>
      <c r="K204" s="9" t="s">
        <v>237</v>
      </c>
      <c r="L204" s="8"/>
      <c r="M204" s="8" t="s">
        <v>239</v>
      </c>
    </row>
    <row r="205" spans="1:13" ht="63" x14ac:dyDescent="0.3">
      <c r="A205" s="8" t="s">
        <v>675</v>
      </c>
      <c r="B205" s="8" t="s">
        <v>59</v>
      </c>
      <c r="C205" s="17" t="s">
        <v>676</v>
      </c>
      <c r="D205" s="9" t="s">
        <v>236</v>
      </c>
      <c r="E205" s="9" t="s">
        <v>236</v>
      </c>
      <c r="F205" s="9" t="s">
        <v>237</v>
      </c>
      <c r="G205" s="9" t="s">
        <v>237</v>
      </c>
      <c r="H205" s="9" t="str">
        <f t="shared" si="3"/>
        <v>PASS</v>
      </c>
      <c r="I205" s="8" t="s">
        <v>677</v>
      </c>
      <c r="J205" s="8" t="s">
        <v>678</v>
      </c>
      <c r="K205" s="9" t="s">
        <v>237</v>
      </c>
      <c r="L205" s="11" t="s">
        <v>679</v>
      </c>
      <c r="M205" s="8" t="s">
        <v>239</v>
      </c>
    </row>
    <row r="206" spans="1:13" ht="25.2" x14ac:dyDescent="0.3">
      <c r="A206" s="8" t="s">
        <v>680</v>
      </c>
      <c r="B206" s="8" t="s">
        <v>59</v>
      </c>
      <c r="C206" s="17" t="s">
        <v>681</v>
      </c>
      <c r="D206" s="9" t="s">
        <v>236</v>
      </c>
      <c r="E206" s="9" t="s">
        <v>236</v>
      </c>
      <c r="F206" s="9" t="s">
        <v>242</v>
      </c>
      <c r="G206" s="9" t="s">
        <v>242</v>
      </c>
      <c r="H206" s="9" t="str">
        <f t="shared" si="3"/>
        <v>PASS</v>
      </c>
      <c r="I206" s="8" t="s">
        <v>168</v>
      </c>
      <c r="J206" s="8" t="s">
        <v>168</v>
      </c>
      <c r="K206" s="9" t="s">
        <v>242</v>
      </c>
      <c r="L206" s="8"/>
      <c r="M206" s="8" t="s">
        <v>239</v>
      </c>
    </row>
    <row r="207" spans="1:13" ht="25.2" x14ac:dyDescent="0.3">
      <c r="A207" s="8" t="s">
        <v>682</v>
      </c>
      <c r="B207" s="8" t="s">
        <v>59</v>
      </c>
      <c r="C207" s="17" t="s">
        <v>683</v>
      </c>
      <c r="D207" s="9" t="s">
        <v>236</v>
      </c>
      <c r="E207" s="9" t="s">
        <v>236</v>
      </c>
      <c r="F207" s="9" t="s">
        <v>242</v>
      </c>
      <c r="G207" s="9" t="s">
        <v>242</v>
      </c>
      <c r="H207" s="9" t="str">
        <f t="shared" si="3"/>
        <v>PASS</v>
      </c>
      <c r="I207" s="8" t="s">
        <v>168</v>
      </c>
      <c r="J207" s="8" t="s">
        <v>168</v>
      </c>
      <c r="K207" s="9" t="s">
        <v>242</v>
      </c>
      <c r="L207" s="8"/>
      <c r="M207" s="8" t="s">
        <v>239</v>
      </c>
    </row>
    <row r="208" spans="1:13" ht="25.2" x14ac:dyDescent="0.3">
      <c r="A208" s="8" t="s">
        <v>684</v>
      </c>
      <c r="B208" s="8" t="s">
        <v>62</v>
      </c>
      <c r="C208" s="17" t="s">
        <v>685</v>
      </c>
      <c r="D208" s="9" t="s">
        <v>236</v>
      </c>
      <c r="E208" s="9" t="s">
        <v>236</v>
      </c>
      <c r="F208" s="9" t="s">
        <v>242</v>
      </c>
      <c r="G208" s="9" t="s">
        <v>242</v>
      </c>
      <c r="H208" s="9" t="str">
        <f t="shared" si="3"/>
        <v>PASS</v>
      </c>
      <c r="I208" s="8" t="s">
        <v>168</v>
      </c>
      <c r="J208" s="8" t="s">
        <v>168</v>
      </c>
      <c r="K208" s="9" t="s">
        <v>242</v>
      </c>
      <c r="L208" s="8"/>
      <c r="M208" s="8" t="s">
        <v>239</v>
      </c>
    </row>
    <row r="209" spans="1:13" ht="25.2" x14ac:dyDescent="0.3">
      <c r="A209" s="8" t="s">
        <v>686</v>
      </c>
      <c r="B209" s="8" t="s">
        <v>62</v>
      </c>
      <c r="C209" s="17" t="s">
        <v>687</v>
      </c>
      <c r="D209" s="9" t="s">
        <v>236</v>
      </c>
      <c r="E209" s="9" t="s">
        <v>236</v>
      </c>
      <c r="F209" s="9" t="s">
        <v>242</v>
      </c>
      <c r="G209" s="9" t="s">
        <v>242</v>
      </c>
      <c r="H209" s="9" t="str">
        <f t="shared" si="3"/>
        <v>PASS</v>
      </c>
      <c r="I209" s="8" t="s">
        <v>168</v>
      </c>
      <c r="J209" s="8" t="s">
        <v>168</v>
      </c>
      <c r="K209" s="9" t="s">
        <v>242</v>
      </c>
      <c r="L209" s="8"/>
      <c r="M209" s="8" t="s">
        <v>239</v>
      </c>
    </row>
    <row r="210" spans="1:13" ht="25.2" x14ac:dyDescent="0.3">
      <c r="A210" s="8" t="s">
        <v>688</v>
      </c>
      <c r="B210" s="8" t="s">
        <v>62</v>
      </c>
      <c r="C210" s="17" t="s">
        <v>689</v>
      </c>
      <c r="D210" s="9" t="s">
        <v>236</v>
      </c>
      <c r="E210" s="9" t="s">
        <v>236</v>
      </c>
      <c r="F210" s="9" t="s">
        <v>242</v>
      </c>
      <c r="G210" s="9" t="s">
        <v>242</v>
      </c>
      <c r="H210" s="9" t="str">
        <f t="shared" si="3"/>
        <v>PASS</v>
      </c>
      <c r="I210" s="8" t="s">
        <v>168</v>
      </c>
      <c r="J210" s="8" t="s">
        <v>168</v>
      </c>
      <c r="K210" s="9" t="s">
        <v>242</v>
      </c>
      <c r="L210" s="8"/>
      <c r="M210" s="8" t="s">
        <v>239</v>
      </c>
    </row>
    <row r="211" spans="1:13" ht="25.2" x14ac:dyDescent="0.3">
      <c r="A211" s="8" t="s">
        <v>690</v>
      </c>
      <c r="B211" s="8" t="s">
        <v>62</v>
      </c>
      <c r="C211" s="17" t="s">
        <v>691</v>
      </c>
      <c r="D211" s="9" t="s">
        <v>236</v>
      </c>
      <c r="E211" s="9" t="s">
        <v>236</v>
      </c>
      <c r="F211" s="9" t="s">
        <v>242</v>
      </c>
      <c r="G211" s="9" t="s">
        <v>242</v>
      </c>
      <c r="H211" s="9" t="str">
        <f t="shared" si="3"/>
        <v>PASS</v>
      </c>
      <c r="I211" s="8" t="s">
        <v>168</v>
      </c>
      <c r="J211" s="8" t="s">
        <v>168</v>
      </c>
      <c r="K211" s="9" t="s">
        <v>242</v>
      </c>
      <c r="L211" s="8"/>
      <c r="M211" s="8" t="s">
        <v>239</v>
      </c>
    </row>
    <row r="212" spans="1:13" ht="25.2" x14ac:dyDescent="0.3">
      <c r="A212" s="8" t="s">
        <v>692</v>
      </c>
      <c r="B212" s="8" t="s">
        <v>62</v>
      </c>
      <c r="C212" s="17" t="s">
        <v>693</v>
      </c>
      <c r="D212" s="9" t="s">
        <v>236</v>
      </c>
      <c r="E212" s="9" t="s">
        <v>236</v>
      </c>
      <c r="F212" s="9" t="s">
        <v>242</v>
      </c>
      <c r="G212" s="9" t="s">
        <v>242</v>
      </c>
      <c r="H212" s="9" t="str">
        <f t="shared" si="3"/>
        <v>PASS</v>
      </c>
      <c r="I212" s="8" t="s">
        <v>168</v>
      </c>
      <c r="J212" s="8" t="s">
        <v>168</v>
      </c>
      <c r="K212" s="9" t="s">
        <v>242</v>
      </c>
      <c r="L212" s="8"/>
      <c r="M212" s="8" t="s">
        <v>239</v>
      </c>
    </row>
    <row r="213" spans="1:13" ht="25.2" x14ac:dyDescent="0.3">
      <c r="A213" s="8" t="s">
        <v>694</v>
      </c>
      <c r="B213" s="8" t="s">
        <v>62</v>
      </c>
      <c r="C213" s="17" t="s">
        <v>695</v>
      </c>
      <c r="D213" s="9" t="s">
        <v>236</v>
      </c>
      <c r="E213" s="9" t="s">
        <v>236</v>
      </c>
      <c r="F213" s="9" t="s">
        <v>242</v>
      </c>
      <c r="G213" s="9" t="s">
        <v>242</v>
      </c>
      <c r="H213" s="9" t="str">
        <f t="shared" si="3"/>
        <v>PASS</v>
      </c>
      <c r="I213" s="8" t="s">
        <v>168</v>
      </c>
      <c r="J213" s="8" t="s">
        <v>168</v>
      </c>
      <c r="K213" s="9" t="s">
        <v>242</v>
      </c>
      <c r="L213" s="8"/>
      <c r="M213" s="8" t="s">
        <v>239</v>
      </c>
    </row>
    <row r="214" spans="1:13" ht="25.2" x14ac:dyDescent="0.3">
      <c r="A214" s="8" t="s">
        <v>696</v>
      </c>
      <c r="B214" s="8" t="s">
        <v>62</v>
      </c>
      <c r="C214" s="17" t="s">
        <v>697</v>
      </c>
      <c r="D214" s="9" t="s">
        <v>236</v>
      </c>
      <c r="E214" s="9" t="s">
        <v>236</v>
      </c>
      <c r="F214" s="9" t="s">
        <v>242</v>
      </c>
      <c r="G214" s="9" t="s">
        <v>242</v>
      </c>
      <c r="H214" s="9" t="str">
        <f t="shared" si="3"/>
        <v>PASS</v>
      </c>
      <c r="I214" s="8" t="s">
        <v>168</v>
      </c>
      <c r="J214" s="8" t="s">
        <v>168</v>
      </c>
      <c r="K214" s="9" t="s">
        <v>242</v>
      </c>
      <c r="L214" s="8"/>
      <c r="M214" s="8" t="s">
        <v>239</v>
      </c>
    </row>
    <row r="215" spans="1:13" ht="25.2" x14ac:dyDescent="0.3">
      <c r="A215" s="8" t="s">
        <v>698</v>
      </c>
      <c r="B215" s="8" t="s">
        <v>62</v>
      </c>
      <c r="C215" s="17" t="s">
        <v>699</v>
      </c>
      <c r="D215" s="9" t="s">
        <v>236</v>
      </c>
      <c r="E215" s="9" t="s">
        <v>236</v>
      </c>
      <c r="F215" s="9" t="s">
        <v>242</v>
      </c>
      <c r="G215" s="9" t="s">
        <v>242</v>
      </c>
      <c r="H215" s="9" t="str">
        <f t="shared" si="3"/>
        <v>PASS</v>
      </c>
      <c r="I215" s="8" t="s">
        <v>168</v>
      </c>
      <c r="J215" s="8" t="s">
        <v>168</v>
      </c>
      <c r="K215" s="9" t="s">
        <v>242</v>
      </c>
      <c r="L215" s="8"/>
      <c r="M215" s="8" t="s">
        <v>239</v>
      </c>
    </row>
    <row r="216" spans="1:13" ht="25.2" x14ac:dyDescent="0.3">
      <c r="A216" s="8" t="s">
        <v>700</v>
      </c>
      <c r="B216" s="8" t="s">
        <v>62</v>
      </c>
      <c r="C216" s="17" t="s">
        <v>701</v>
      </c>
      <c r="D216" s="9" t="s">
        <v>236</v>
      </c>
      <c r="E216" s="9" t="s">
        <v>236</v>
      </c>
      <c r="F216" s="9" t="s">
        <v>242</v>
      </c>
      <c r="G216" s="9" t="s">
        <v>242</v>
      </c>
      <c r="H216" s="9" t="str">
        <f t="shared" si="3"/>
        <v>PASS</v>
      </c>
      <c r="I216" s="8" t="s">
        <v>168</v>
      </c>
      <c r="J216" s="8" t="s">
        <v>168</v>
      </c>
      <c r="K216" s="9" t="s">
        <v>242</v>
      </c>
      <c r="L216" s="8"/>
      <c r="M216" s="8" t="s">
        <v>239</v>
      </c>
    </row>
    <row r="217" spans="1:13" ht="25.2" x14ac:dyDescent="0.3">
      <c r="A217" s="8" t="s">
        <v>702</v>
      </c>
      <c r="B217" s="8" t="s">
        <v>62</v>
      </c>
      <c r="C217" s="17" t="s">
        <v>703</v>
      </c>
      <c r="D217" s="9" t="s">
        <v>236</v>
      </c>
      <c r="E217" s="9" t="s">
        <v>236</v>
      </c>
      <c r="F217" s="9" t="s">
        <v>242</v>
      </c>
      <c r="G217" s="9" t="s">
        <v>242</v>
      </c>
      <c r="H217" s="9" t="str">
        <f t="shared" si="3"/>
        <v>PASS</v>
      </c>
      <c r="I217" s="8" t="s">
        <v>168</v>
      </c>
      <c r="J217" s="8" t="s">
        <v>168</v>
      </c>
      <c r="K217" s="9" t="s">
        <v>242</v>
      </c>
      <c r="L217" s="8"/>
      <c r="M217" s="8" t="s">
        <v>239</v>
      </c>
    </row>
    <row r="218" spans="1:13" ht="25.2" x14ac:dyDescent="0.3">
      <c r="A218" s="8" t="s">
        <v>704</v>
      </c>
      <c r="B218" s="8" t="s">
        <v>62</v>
      </c>
      <c r="C218" s="17" t="s">
        <v>705</v>
      </c>
      <c r="D218" s="9" t="s">
        <v>236</v>
      </c>
      <c r="E218" s="9" t="s">
        <v>236</v>
      </c>
      <c r="F218" s="9" t="s">
        <v>242</v>
      </c>
      <c r="G218" s="9" t="s">
        <v>242</v>
      </c>
      <c r="H218" s="9" t="str">
        <f t="shared" si="3"/>
        <v>PASS</v>
      </c>
      <c r="I218" s="8" t="s">
        <v>168</v>
      </c>
      <c r="J218" s="8" t="s">
        <v>168</v>
      </c>
      <c r="K218" s="9" t="s">
        <v>242</v>
      </c>
      <c r="L218" s="8"/>
      <c r="M218" s="8" t="s">
        <v>239</v>
      </c>
    </row>
    <row r="219" spans="1:13" ht="25.2" x14ac:dyDescent="0.3">
      <c r="A219" s="8" t="s">
        <v>706</v>
      </c>
      <c r="B219" s="8" t="s">
        <v>62</v>
      </c>
      <c r="C219" s="17" t="s">
        <v>707</v>
      </c>
      <c r="D219" s="9" t="s">
        <v>236</v>
      </c>
      <c r="E219" s="9" t="s">
        <v>236</v>
      </c>
      <c r="F219" s="9" t="s">
        <v>242</v>
      </c>
      <c r="G219" s="9" t="s">
        <v>242</v>
      </c>
      <c r="H219" s="9" t="str">
        <f t="shared" si="3"/>
        <v>PASS</v>
      </c>
      <c r="I219" s="8" t="s">
        <v>168</v>
      </c>
      <c r="J219" s="8" t="s">
        <v>168</v>
      </c>
      <c r="K219" s="9" t="s">
        <v>242</v>
      </c>
      <c r="L219" s="8"/>
      <c r="M219" s="8" t="s">
        <v>239</v>
      </c>
    </row>
    <row r="220" spans="1:13" ht="25.2" x14ac:dyDescent="0.3">
      <c r="A220" s="8" t="s">
        <v>708</v>
      </c>
      <c r="B220" s="8" t="s">
        <v>62</v>
      </c>
      <c r="C220" s="17" t="s">
        <v>709</v>
      </c>
      <c r="D220" s="9" t="s">
        <v>236</v>
      </c>
      <c r="E220" s="9" t="s">
        <v>236</v>
      </c>
      <c r="F220" s="9" t="s">
        <v>242</v>
      </c>
      <c r="G220" s="9" t="s">
        <v>242</v>
      </c>
      <c r="H220" s="9" t="str">
        <f t="shared" si="3"/>
        <v>PASS</v>
      </c>
      <c r="I220" s="8" t="s">
        <v>168</v>
      </c>
      <c r="J220" s="8" t="s">
        <v>168</v>
      </c>
      <c r="K220" s="9" t="s">
        <v>242</v>
      </c>
      <c r="L220" s="8"/>
      <c r="M220" s="8" t="s">
        <v>239</v>
      </c>
    </row>
    <row r="221" spans="1:13" ht="25.2" x14ac:dyDescent="0.3">
      <c r="A221" s="8" t="s">
        <v>710</v>
      </c>
      <c r="B221" s="8" t="s">
        <v>62</v>
      </c>
      <c r="C221" s="17" t="s">
        <v>711</v>
      </c>
      <c r="D221" s="9" t="s">
        <v>236</v>
      </c>
      <c r="E221" s="9" t="s">
        <v>236</v>
      </c>
      <c r="F221" s="9" t="s">
        <v>242</v>
      </c>
      <c r="G221" s="9" t="s">
        <v>242</v>
      </c>
      <c r="H221" s="9" t="str">
        <f t="shared" si="3"/>
        <v>PASS</v>
      </c>
      <c r="I221" s="8" t="s">
        <v>168</v>
      </c>
      <c r="J221" s="8" t="s">
        <v>168</v>
      </c>
      <c r="K221" s="9" t="s">
        <v>242</v>
      </c>
      <c r="L221" s="8"/>
      <c r="M221" s="8" t="s">
        <v>239</v>
      </c>
    </row>
    <row r="222" spans="1:13" ht="25.2" x14ac:dyDescent="0.3">
      <c r="A222" s="8" t="s">
        <v>712</v>
      </c>
      <c r="B222" s="8" t="s">
        <v>62</v>
      </c>
      <c r="C222" s="17" t="s">
        <v>713</v>
      </c>
      <c r="D222" s="9" t="s">
        <v>236</v>
      </c>
      <c r="E222" s="9" t="s">
        <v>236</v>
      </c>
      <c r="F222" s="9" t="s">
        <v>242</v>
      </c>
      <c r="G222" s="9" t="s">
        <v>242</v>
      </c>
      <c r="H222" s="9" t="str">
        <f t="shared" si="3"/>
        <v>PASS</v>
      </c>
      <c r="I222" s="8" t="s">
        <v>168</v>
      </c>
      <c r="J222" s="8" t="s">
        <v>168</v>
      </c>
      <c r="K222" s="9" t="s">
        <v>242</v>
      </c>
      <c r="L222" s="8"/>
      <c r="M222" s="8" t="s">
        <v>239</v>
      </c>
    </row>
    <row r="223" spans="1:13" ht="25.2" x14ac:dyDescent="0.3">
      <c r="A223" s="8" t="s">
        <v>714</v>
      </c>
      <c r="B223" s="8" t="s">
        <v>62</v>
      </c>
      <c r="C223" s="17" t="s">
        <v>715</v>
      </c>
      <c r="D223" s="9" t="s">
        <v>236</v>
      </c>
      <c r="E223" s="9" t="s">
        <v>236</v>
      </c>
      <c r="F223" s="9" t="s">
        <v>242</v>
      </c>
      <c r="G223" s="9" t="s">
        <v>242</v>
      </c>
      <c r="H223" s="9" t="str">
        <f t="shared" si="3"/>
        <v>PASS</v>
      </c>
      <c r="I223" s="8" t="s">
        <v>168</v>
      </c>
      <c r="J223" s="8" t="s">
        <v>168</v>
      </c>
      <c r="K223" s="9" t="s">
        <v>242</v>
      </c>
      <c r="L223" s="8"/>
      <c r="M223" s="8" t="s">
        <v>239</v>
      </c>
    </row>
    <row r="224" spans="1:13" ht="25.2" x14ac:dyDescent="0.3">
      <c r="A224" s="8" t="s">
        <v>716</v>
      </c>
      <c r="B224" s="8" t="s">
        <v>62</v>
      </c>
      <c r="C224" s="17" t="s">
        <v>717</v>
      </c>
      <c r="D224" s="9" t="s">
        <v>236</v>
      </c>
      <c r="E224" s="9" t="s">
        <v>236</v>
      </c>
      <c r="F224" s="9" t="s">
        <v>242</v>
      </c>
      <c r="G224" s="9" t="s">
        <v>242</v>
      </c>
      <c r="H224" s="9" t="str">
        <f t="shared" si="3"/>
        <v>PASS</v>
      </c>
      <c r="I224" s="8" t="s">
        <v>168</v>
      </c>
      <c r="J224" s="8" t="s">
        <v>168</v>
      </c>
      <c r="K224" s="9" t="s">
        <v>242</v>
      </c>
      <c r="L224" s="8"/>
      <c r="M224" s="8" t="s">
        <v>239</v>
      </c>
    </row>
    <row r="225" spans="1:13" ht="25.2" x14ac:dyDescent="0.3">
      <c r="A225" s="8" t="s">
        <v>718</v>
      </c>
      <c r="B225" s="8" t="s">
        <v>62</v>
      </c>
      <c r="C225" s="17" t="s">
        <v>719</v>
      </c>
      <c r="D225" s="9" t="s">
        <v>236</v>
      </c>
      <c r="E225" s="9" t="s">
        <v>236</v>
      </c>
      <c r="F225" s="9" t="s">
        <v>242</v>
      </c>
      <c r="G225" s="9" t="s">
        <v>242</v>
      </c>
      <c r="H225" s="9" t="str">
        <f t="shared" si="3"/>
        <v>PASS</v>
      </c>
      <c r="I225" s="8" t="s">
        <v>168</v>
      </c>
      <c r="J225" s="8" t="s">
        <v>168</v>
      </c>
      <c r="K225" s="9" t="s">
        <v>242</v>
      </c>
      <c r="L225" s="8"/>
      <c r="M225" s="8" t="s">
        <v>239</v>
      </c>
    </row>
    <row r="226" spans="1:13" ht="25.2" x14ac:dyDescent="0.3">
      <c r="A226" s="8" t="s">
        <v>720</v>
      </c>
      <c r="B226" s="8" t="s">
        <v>62</v>
      </c>
      <c r="C226" s="17" t="s">
        <v>721</v>
      </c>
      <c r="D226" s="9" t="s">
        <v>236</v>
      </c>
      <c r="E226" s="9" t="s">
        <v>236</v>
      </c>
      <c r="F226" s="9" t="s">
        <v>242</v>
      </c>
      <c r="G226" s="9" t="s">
        <v>242</v>
      </c>
      <c r="H226" s="9" t="str">
        <f t="shared" si="3"/>
        <v>PASS</v>
      </c>
      <c r="I226" s="8" t="s">
        <v>168</v>
      </c>
      <c r="J226" s="8" t="s">
        <v>168</v>
      </c>
      <c r="K226" s="9" t="s">
        <v>242</v>
      </c>
      <c r="L226" s="8"/>
      <c r="M226" s="8" t="s">
        <v>239</v>
      </c>
    </row>
    <row r="227" spans="1:13" ht="25.2" x14ac:dyDescent="0.3">
      <c r="A227" s="8" t="s">
        <v>722</v>
      </c>
      <c r="B227" s="8" t="s">
        <v>62</v>
      </c>
      <c r="C227" s="17" t="s">
        <v>723</v>
      </c>
      <c r="D227" s="9" t="s">
        <v>236</v>
      </c>
      <c r="E227" s="9" t="s">
        <v>236</v>
      </c>
      <c r="F227" s="9" t="s">
        <v>242</v>
      </c>
      <c r="G227" s="9" t="s">
        <v>242</v>
      </c>
      <c r="H227" s="9" t="str">
        <f t="shared" si="3"/>
        <v>PASS</v>
      </c>
      <c r="I227" s="8" t="s">
        <v>168</v>
      </c>
      <c r="J227" s="8" t="s">
        <v>168</v>
      </c>
      <c r="K227" s="9" t="s">
        <v>242</v>
      </c>
      <c r="L227" s="8"/>
      <c r="M227" s="8" t="s">
        <v>239</v>
      </c>
    </row>
    <row r="228" spans="1:13" ht="25.2" x14ac:dyDescent="0.3">
      <c r="A228" s="8" t="s">
        <v>724</v>
      </c>
      <c r="B228" s="8" t="s">
        <v>62</v>
      </c>
      <c r="C228" s="17" t="s">
        <v>725</v>
      </c>
      <c r="D228" s="9" t="s">
        <v>236</v>
      </c>
      <c r="E228" s="9" t="s">
        <v>236</v>
      </c>
      <c r="F228" s="9" t="s">
        <v>242</v>
      </c>
      <c r="G228" s="9" t="s">
        <v>242</v>
      </c>
      <c r="H228" s="9" t="str">
        <f t="shared" si="3"/>
        <v>PASS</v>
      </c>
      <c r="I228" s="8" t="s">
        <v>168</v>
      </c>
      <c r="J228" s="8" t="s">
        <v>168</v>
      </c>
      <c r="K228" s="9" t="s">
        <v>242</v>
      </c>
      <c r="L228" s="8"/>
      <c r="M228" s="8" t="s">
        <v>239</v>
      </c>
    </row>
    <row r="229" spans="1:13" x14ac:dyDescent="0.3">
      <c r="A229" s="8" t="s">
        <v>726</v>
      </c>
      <c r="B229" s="8" t="s">
        <v>62</v>
      </c>
      <c r="C229" s="17" t="s">
        <v>727</v>
      </c>
      <c r="D229" s="9" t="s">
        <v>236</v>
      </c>
      <c r="E229" s="9" t="s">
        <v>236</v>
      </c>
      <c r="F229" s="9" t="s">
        <v>242</v>
      </c>
      <c r="G229" s="9" t="s">
        <v>242</v>
      </c>
      <c r="H229" s="9" t="str">
        <f t="shared" si="3"/>
        <v>PASS</v>
      </c>
      <c r="I229" s="8" t="s">
        <v>168</v>
      </c>
      <c r="J229" s="8" t="s">
        <v>168</v>
      </c>
      <c r="K229" s="9" t="s">
        <v>242</v>
      </c>
      <c r="L229" s="8"/>
      <c r="M229" s="8" t="s">
        <v>239</v>
      </c>
    </row>
    <row r="230" spans="1:13" ht="25.2" x14ac:dyDescent="0.3">
      <c r="A230" s="8" t="s">
        <v>728</v>
      </c>
      <c r="B230" s="8" t="s">
        <v>62</v>
      </c>
      <c r="C230" s="17" t="s">
        <v>729</v>
      </c>
      <c r="D230" s="9" t="s">
        <v>236</v>
      </c>
      <c r="E230" s="9" t="s">
        <v>236</v>
      </c>
      <c r="F230" s="9" t="s">
        <v>242</v>
      </c>
      <c r="G230" s="9" t="s">
        <v>242</v>
      </c>
      <c r="H230" s="9" t="str">
        <f t="shared" si="3"/>
        <v>PASS</v>
      </c>
      <c r="I230" s="8" t="s">
        <v>168</v>
      </c>
      <c r="J230" s="8" t="s">
        <v>168</v>
      </c>
      <c r="K230" s="9" t="s">
        <v>242</v>
      </c>
      <c r="L230" s="8"/>
      <c r="M230" s="8" t="s">
        <v>239</v>
      </c>
    </row>
    <row r="231" spans="1:13" ht="25.2" x14ac:dyDescent="0.3">
      <c r="A231" s="8" t="s">
        <v>730</v>
      </c>
      <c r="B231" s="8" t="s">
        <v>65</v>
      </c>
      <c r="C231" s="17" t="s">
        <v>731</v>
      </c>
      <c r="D231" s="9" t="s">
        <v>275</v>
      </c>
      <c r="E231" s="9" t="s">
        <v>236</v>
      </c>
      <c r="F231" s="9" t="s">
        <v>242</v>
      </c>
      <c r="G231" s="9" t="s">
        <v>242</v>
      </c>
      <c r="H231" s="9" t="str">
        <f t="shared" si="3"/>
        <v>PASS</v>
      </c>
      <c r="I231" s="8" t="s">
        <v>168</v>
      </c>
      <c r="J231" s="8" t="s">
        <v>168</v>
      </c>
      <c r="K231" s="9" t="s">
        <v>242</v>
      </c>
      <c r="L231" s="8"/>
      <c r="M231" s="8" t="s">
        <v>239</v>
      </c>
    </row>
    <row r="232" spans="1:13" ht="25.2" x14ac:dyDescent="0.3">
      <c r="A232" s="8" t="s">
        <v>732</v>
      </c>
      <c r="B232" s="8" t="s">
        <v>65</v>
      </c>
      <c r="C232" s="17" t="s">
        <v>733</v>
      </c>
      <c r="D232" s="9" t="s">
        <v>275</v>
      </c>
      <c r="E232" s="9" t="s">
        <v>236</v>
      </c>
      <c r="F232" s="9" t="s">
        <v>242</v>
      </c>
      <c r="G232" s="9" t="s">
        <v>242</v>
      </c>
      <c r="H232" s="9" t="str">
        <f t="shared" si="3"/>
        <v>PASS</v>
      </c>
      <c r="I232" s="8" t="s">
        <v>168</v>
      </c>
      <c r="J232" s="8" t="s">
        <v>168</v>
      </c>
      <c r="K232" s="9" t="s">
        <v>242</v>
      </c>
      <c r="L232" s="8"/>
      <c r="M232" s="8" t="s">
        <v>239</v>
      </c>
    </row>
    <row r="233" spans="1:13" ht="25.2" x14ac:dyDescent="0.3">
      <c r="A233" s="8" t="s">
        <v>734</v>
      </c>
      <c r="B233" s="8" t="s">
        <v>65</v>
      </c>
      <c r="C233" s="17" t="s">
        <v>735</v>
      </c>
      <c r="D233" s="9" t="s">
        <v>275</v>
      </c>
      <c r="E233" s="9" t="s">
        <v>236</v>
      </c>
      <c r="F233" s="9" t="s">
        <v>242</v>
      </c>
      <c r="G233" s="9" t="s">
        <v>242</v>
      </c>
      <c r="H233" s="9" t="str">
        <f t="shared" si="3"/>
        <v>PASS</v>
      </c>
      <c r="I233" s="8" t="s">
        <v>168</v>
      </c>
      <c r="J233" s="8" t="s">
        <v>168</v>
      </c>
      <c r="K233" s="9" t="s">
        <v>242</v>
      </c>
      <c r="L233" s="8"/>
      <c r="M233" s="8" t="s">
        <v>239</v>
      </c>
    </row>
    <row r="234" spans="1:13" ht="25.2" x14ac:dyDescent="0.3">
      <c r="A234" s="8" t="s">
        <v>736</v>
      </c>
      <c r="B234" s="8" t="s">
        <v>65</v>
      </c>
      <c r="C234" s="17" t="s">
        <v>737</v>
      </c>
      <c r="D234" s="9" t="s">
        <v>275</v>
      </c>
      <c r="E234" s="9" t="s">
        <v>236</v>
      </c>
      <c r="F234" s="9" t="s">
        <v>242</v>
      </c>
      <c r="G234" s="9" t="s">
        <v>242</v>
      </c>
      <c r="H234" s="9" t="str">
        <f t="shared" si="3"/>
        <v>PASS</v>
      </c>
      <c r="I234" s="8" t="s">
        <v>168</v>
      </c>
      <c r="J234" s="8" t="s">
        <v>168</v>
      </c>
      <c r="K234" s="9" t="s">
        <v>242</v>
      </c>
      <c r="L234" s="8"/>
      <c r="M234" s="8" t="s">
        <v>239</v>
      </c>
    </row>
    <row r="235" spans="1:13" ht="25.2" x14ac:dyDescent="0.3">
      <c r="A235" s="8" t="s">
        <v>738</v>
      </c>
      <c r="B235" s="8" t="s">
        <v>65</v>
      </c>
      <c r="C235" s="17" t="s">
        <v>739</v>
      </c>
      <c r="D235" s="9" t="s">
        <v>275</v>
      </c>
      <c r="E235" s="9" t="s">
        <v>236</v>
      </c>
      <c r="F235" s="9" t="s">
        <v>242</v>
      </c>
      <c r="G235" s="9" t="s">
        <v>242</v>
      </c>
      <c r="H235" s="9" t="str">
        <f t="shared" si="3"/>
        <v>PASS</v>
      </c>
      <c r="I235" s="8" t="s">
        <v>168</v>
      </c>
      <c r="J235" s="8" t="s">
        <v>168</v>
      </c>
      <c r="K235" s="9" t="s">
        <v>242</v>
      </c>
      <c r="L235" s="8"/>
      <c r="M235" s="8" t="s">
        <v>239</v>
      </c>
    </row>
    <row r="236" spans="1:13" x14ac:dyDescent="0.3">
      <c r="A236" s="8" t="s">
        <v>740</v>
      </c>
      <c r="B236" s="8" t="s">
        <v>65</v>
      </c>
      <c r="C236" s="17" t="s">
        <v>741</v>
      </c>
      <c r="D236" s="9" t="s">
        <v>275</v>
      </c>
      <c r="E236" s="9" t="s">
        <v>236</v>
      </c>
      <c r="F236" s="9" t="s">
        <v>242</v>
      </c>
      <c r="G236" s="9" t="s">
        <v>242</v>
      </c>
      <c r="H236" s="9" t="str">
        <f t="shared" si="3"/>
        <v>PASS</v>
      </c>
      <c r="I236" s="8" t="s">
        <v>168</v>
      </c>
      <c r="J236" s="8" t="s">
        <v>168</v>
      </c>
      <c r="K236" s="9" t="s">
        <v>242</v>
      </c>
      <c r="L236" s="8"/>
      <c r="M236" s="8" t="s">
        <v>239</v>
      </c>
    </row>
    <row r="237" spans="1:13" ht="26.4" x14ac:dyDescent="0.3">
      <c r="A237" s="8" t="s">
        <v>742</v>
      </c>
      <c r="B237" s="8" t="s">
        <v>67</v>
      </c>
      <c r="C237" s="17" t="s">
        <v>193</v>
      </c>
      <c r="D237" s="9" t="s">
        <v>236</v>
      </c>
      <c r="E237" s="9" t="s">
        <v>236</v>
      </c>
      <c r="F237" s="9" t="s">
        <v>237</v>
      </c>
      <c r="G237" s="9" t="s">
        <v>237</v>
      </c>
      <c r="H237" s="9" t="str">
        <f t="shared" si="3"/>
        <v>PASS</v>
      </c>
      <c r="I237" s="8" t="s">
        <v>68</v>
      </c>
      <c r="J237" s="8" t="s">
        <v>743</v>
      </c>
      <c r="K237" s="9" t="s">
        <v>744</v>
      </c>
      <c r="L237" s="8"/>
      <c r="M237" s="8" t="s">
        <v>745</v>
      </c>
    </row>
    <row r="238" spans="1:13" ht="26.4" x14ac:dyDescent="0.3">
      <c r="A238" s="8" t="s">
        <v>746</v>
      </c>
      <c r="B238" s="8" t="s">
        <v>67</v>
      </c>
      <c r="C238" s="17" t="s">
        <v>747</v>
      </c>
      <c r="D238" s="9" t="s">
        <v>236</v>
      </c>
      <c r="E238" s="9" t="s">
        <v>236</v>
      </c>
      <c r="F238" s="9" t="s">
        <v>237</v>
      </c>
      <c r="G238" s="9" t="s">
        <v>237</v>
      </c>
      <c r="H238" s="9" t="str">
        <f t="shared" si="3"/>
        <v>PASS</v>
      </c>
      <c r="I238" s="8" t="s">
        <v>68</v>
      </c>
      <c r="J238" s="8" t="s">
        <v>748</v>
      </c>
      <c r="K238" s="9" t="s">
        <v>744</v>
      </c>
      <c r="L238" s="8"/>
      <c r="M238" s="8" t="s">
        <v>745</v>
      </c>
    </row>
    <row r="239" spans="1:13" ht="26.4" x14ac:dyDescent="0.3">
      <c r="A239" s="8" t="s">
        <v>749</v>
      </c>
      <c r="B239" s="8" t="s">
        <v>67</v>
      </c>
      <c r="C239" s="17" t="s">
        <v>750</v>
      </c>
      <c r="D239" s="9" t="s">
        <v>236</v>
      </c>
      <c r="E239" s="9" t="s">
        <v>236</v>
      </c>
      <c r="F239" s="9" t="s">
        <v>237</v>
      </c>
      <c r="G239" s="9" t="s">
        <v>237</v>
      </c>
      <c r="H239" s="9" t="str">
        <f t="shared" si="3"/>
        <v>PASS</v>
      </c>
      <c r="I239" s="8" t="s">
        <v>68</v>
      </c>
      <c r="J239" s="8" t="s">
        <v>751</v>
      </c>
      <c r="K239" s="9" t="s">
        <v>744</v>
      </c>
      <c r="L239" s="8"/>
      <c r="M239" s="8" t="s">
        <v>745</v>
      </c>
    </row>
    <row r="240" spans="1:13" ht="26.4" x14ac:dyDescent="0.3">
      <c r="A240" s="8" t="s">
        <v>752</v>
      </c>
      <c r="B240" s="8" t="s">
        <v>67</v>
      </c>
      <c r="C240" s="17" t="s">
        <v>753</v>
      </c>
      <c r="D240" s="9" t="s">
        <v>236</v>
      </c>
      <c r="E240" s="9" t="s">
        <v>236</v>
      </c>
      <c r="F240" s="9" t="s">
        <v>237</v>
      </c>
      <c r="G240" s="9" t="s">
        <v>237</v>
      </c>
      <c r="H240" s="9" t="str">
        <f t="shared" si="3"/>
        <v>PASS</v>
      </c>
      <c r="I240" s="8" t="s">
        <v>68</v>
      </c>
      <c r="J240" s="8" t="s">
        <v>754</v>
      </c>
      <c r="K240" s="9" t="s">
        <v>744</v>
      </c>
      <c r="L240" s="8"/>
      <c r="M240" s="8" t="s">
        <v>745</v>
      </c>
    </row>
    <row r="241" spans="1:13" ht="26.4" x14ac:dyDescent="0.3">
      <c r="A241" s="8" t="s">
        <v>755</v>
      </c>
      <c r="B241" s="8" t="s">
        <v>67</v>
      </c>
      <c r="C241" s="17" t="s">
        <v>756</v>
      </c>
      <c r="D241" s="9" t="s">
        <v>236</v>
      </c>
      <c r="E241" s="9" t="s">
        <v>236</v>
      </c>
      <c r="F241" s="9" t="s">
        <v>237</v>
      </c>
      <c r="G241" s="9" t="s">
        <v>237</v>
      </c>
      <c r="H241" s="9" t="str">
        <f t="shared" si="3"/>
        <v>PASS</v>
      </c>
      <c r="I241" s="8" t="s">
        <v>68</v>
      </c>
      <c r="J241" s="8" t="s">
        <v>757</v>
      </c>
      <c r="K241" s="9" t="s">
        <v>744</v>
      </c>
      <c r="L241" s="8"/>
      <c r="M241" s="8" t="s">
        <v>745</v>
      </c>
    </row>
    <row r="242" spans="1:13" ht="26.4" x14ac:dyDescent="0.3">
      <c r="A242" s="8" t="s">
        <v>758</v>
      </c>
      <c r="B242" s="8" t="s">
        <v>67</v>
      </c>
      <c r="C242" s="17" t="s">
        <v>759</v>
      </c>
      <c r="D242" s="9" t="s">
        <v>236</v>
      </c>
      <c r="E242" s="9" t="s">
        <v>236</v>
      </c>
      <c r="F242" s="9" t="s">
        <v>237</v>
      </c>
      <c r="G242" s="9" t="s">
        <v>237</v>
      </c>
      <c r="H242" s="9" t="str">
        <f t="shared" si="3"/>
        <v>PASS</v>
      </c>
      <c r="I242" s="8" t="s">
        <v>68</v>
      </c>
      <c r="J242" s="8" t="s">
        <v>743</v>
      </c>
      <c r="K242" s="9" t="s">
        <v>744</v>
      </c>
      <c r="L242" s="8"/>
      <c r="M242" s="8" t="s">
        <v>745</v>
      </c>
    </row>
    <row r="243" spans="1:13" x14ac:dyDescent="0.3">
      <c r="A243" s="8" t="s">
        <v>760</v>
      </c>
      <c r="B243" s="8" t="s">
        <v>67</v>
      </c>
      <c r="C243" s="17" t="s">
        <v>761</v>
      </c>
      <c r="D243" s="9" t="s">
        <v>236</v>
      </c>
      <c r="E243" s="9" t="s">
        <v>236</v>
      </c>
      <c r="F243" s="9" t="s">
        <v>242</v>
      </c>
      <c r="G243" s="9" t="s">
        <v>242</v>
      </c>
      <c r="H243" s="9" t="str">
        <f t="shared" si="3"/>
        <v>PASS</v>
      </c>
      <c r="I243" s="8" t="s">
        <v>168</v>
      </c>
      <c r="J243" s="8" t="s">
        <v>168</v>
      </c>
      <c r="K243" s="9" t="s">
        <v>744</v>
      </c>
      <c r="L243" s="8"/>
      <c r="M243" s="8" t="s">
        <v>745</v>
      </c>
    </row>
    <row r="244" spans="1:13" ht="26.4" x14ac:dyDescent="0.3">
      <c r="A244" s="8" t="s">
        <v>762</v>
      </c>
      <c r="B244" s="8" t="s">
        <v>70</v>
      </c>
      <c r="C244" s="17" t="s">
        <v>198</v>
      </c>
      <c r="D244" s="9" t="s">
        <v>236</v>
      </c>
      <c r="E244" s="9" t="s">
        <v>236</v>
      </c>
      <c r="F244" s="9" t="s">
        <v>237</v>
      </c>
      <c r="G244" s="9" t="s">
        <v>237</v>
      </c>
      <c r="H244" s="9" t="str">
        <f t="shared" si="3"/>
        <v>PASS</v>
      </c>
      <c r="I244" s="8" t="s">
        <v>70</v>
      </c>
      <c r="J244" s="8" t="s">
        <v>763</v>
      </c>
      <c r="K244" s="9" t="s">
        <v>744</v>
      </c>
      <c r="L244" s="8"/>
      <c r="M244" s="8" t="s">
        <v>745</v>
      </c>
    </row>
    <row r="245" spans="1:13" ht="39.6" x14ac:dyDescent="0.3">
      <c r="A245" s="8" t="s">
        <v>764</v>
      </c>
      <c r="B245" s="8" t="s">
        <v>70</v>
      </c>
      <c r="C245" s="17" t="s">
        <v>765</v>
      </c>
      <c r="D245" s="9" t="s">
        <v>236</v>
      </c>
      <c r="E245" s="9" t="s">
        <v>236</v>
      </c>
      <c r="F245" s="9" t="s">
        <v>237</v>
      </c>
      <c r="G245" s="9" t="s">
        <v>237</v>
      </c>
      <c r="H245" s="9" t="str">
        <f t="shared" si="3"/>
        <v>PASS</v>
      </c>
      <c r="I245" s="8" t="s">
        <v>70</v>
      </c>
      <c r="J245" s="8" t="s">
        <v>766</v>
      </c>
      <c r="K245" s="9" t="s">
        <v>744</v>
      </c>
      <c r="L245" s="8"/>
      <c r="M245" s="8" t="s">
        <v>745</v>
      </c>
    </row>
    <row r="246" spans="1:13" ht="26.4" x14ac:dyDescent="0.3">
      <c r="A246" s="8" t="s">
        <v>767</v>
      </c>
      <c r="B246" s="8" t="s">
        <v>70</v>
      </c>
      <c r="C246" s="17" t="s">
        <v>768</v>
      </c>
      <c r="D246" s="9" t="s">
        <v>236</v>
      </c>
      <c r="E246" s="9" t="s">
        <v>236</v>
      </c>
      <c r="F246" s="9" t="s">
        <v>237</v>
      </c>
      <c r="G246" s="9" t="s">
        <v>237</v>
      </c>
      <c r="H246" s="9" t="str">
        <f t="shared" si="3"/>
        <v>PASS</v>
      </c>
      <c r="I246" s="8" t="s">
        <v>70</v>
      </c>
      <c r="J246" s="8" t="s">
        <v>763</v>
      </c>
      <c r="K246" s="9" t="s">
        <v>744</v>
      </c>
      <c r="L246" s="8"/>
      <c r="M246" s="8" t="s">
        <v>745</v>
      </c>
    </row>
    <row r="247" spans="1:13" x14ac:dyDescent="0.3">
      <c r="A247" s="8" t="s">
        <v>769</v>
      </c>
      <c r="B247" s="8" t="s">
        <v>70</v>
      </c>
      <c r="C247" s="17" t="s">
        <v>770</v>
      </c>
      <c r="D247" s="9" t="s">
        <v>236</v>
      </c>
      <c r="E247" s="9" t="s">
        <v>236</v>
      </c>
      <c r="F247" s="9" t="s">
        <v>242</v>
      </c>
      <c r="G247" s="9" t="s">
        <v>242</v>
      </c>
      <c r="H247" s="9" t="str">
        <f t="shared" si="3"/>
        <v>PASS</v>
      </c>
      <c r="I247" s="8" t="s">
        <v>168</v>
      </c>
      <c r="J247" s="8" t="s">
        <v>168</v>
      </c>
      <c r="K247" s="9" t="s">
        <v>744</v>
      </c>
      <c r="L247" s="8"/>
      <c r="M247" s="8" t="s">
        <v>745</v>
      </c>
    </row>
    <row r="248" spans="1:13" ht="26.4" x14ac:dyDescent="0.3">
      <c r="A248" s="8" t="s">
        <v>771</v>
      </c>
      <c r="B248" s="8" t="s">
        <v>72</v>
      </c>
      <c r="C248" s="17" t="s">
        <v>772</v>
      </c>
      <c r="D248" s="9" t="s">
        <v>236</v>
      </c>
      <c r="E248" s="9" t="s">
        <v>236</v>
      </c>
      <c r="F248" s="9" t="s">
        <v>237</v>
      </c>
      <c r="G248" s="9" t="s">
        <v>237</v>
      </c>
      <c r="H248" s="9" t="str">
        <f t="shared" si="3"/>
        <v>PASS</v>
      </c>
      <c r="I248" s="8" t="s">
        <v>41</v>
      </c>
      <c r="J248" s="8" t="s">
        <v>445</v>
      </c>
      <c r="K248" s="9" t="s">
        <v>744</v>
      </c>
      <c r="L248" s="8"/>
      <c r="M248" s="8" t="s">
        <v>745</v>
      </c>
    </row>
    <row r="249" spans="1:13" ht="26.4" x14ac:dyDescent="0.3">
      <c r="A249" s="8" t="s">
        <v>773</v>
      </c>
      <c r="B249" s="8" t="s">
        <v>72</v>
      </c>
      <c r="C249" s="17" t="s">
        <v>171</v>
      </c>
      <c r="D249" s="9" t="s">
        <v>236</v>
      </c>
      <c r="E249" s="9" t="s">
        <v>236</v>
      </c>
      <c r="F249" s="9" t="s">
        <v>237</v>
      </c>
      <c r="G249" s="9" t="s">
        <v>237</v>
      </c>
      <c r="H249" s="9" t="str">
        <f t="shared" si="3"/>
        <v>PASS</v>
      </c>
      <c r="I249" s="8" t="s">
        <v>41</v>
      </c>
      <c r="J249" s="8" t="s">
        <v>445</v>
      </c>
      <c r="K249" s="9" t="s">
        <v>744</v>
      </c>
      <c r="L249" s="8"/>
      <c r="M249" s="8" t="s">
        <v>745</v>
      </c>
    </row>
    <row r="250" spans="1:13" ht="26.4" x14ac:dyDescent="0.3">
      <c r="A250" s="8" t="s">
        <v>774</v>
      </c>
      <c r="B250" s="8" t="s">
        <v>72</v>
      </c>
      <c r="C250" s="17" t="s">
        <v>775</v>
      </c>
      <c r="D250" s="9" t="s">
        <v>236</v>
      </c>
      <c r="E250" s="9" t="s">
        <v>236</v>
      </c>
      <c r="F250" s="9" t="s">
        <v>237</v>
      </c>
      <c r="G250" s="9" t="s">
        <v>237</v>
      </c>
      <c r="H250" s="9" t="str">
        <f t="shared" si="3"/>
        <v>PASS</v>
      </c>
      <c r="I250" s="8" t="s">
        <v>41</v>
      </c>
      <c r="J250" s="8" t="s">
        <v>445</v>
      </c>
      <c r="K250" s="9" t="s">
        <v>744</v>
      </c>
      <c r="L250" s="8"/>
      <c r="M250" s="8" t="s">
        <v>745</v>
      </c>
    </row>
    <row r="251" spans="1:13" ht="26.4" x14ac:dyDescent="0.3">
      <c r="A251" s="8" t="s">
        <v>776</v>
      </c>
      <c r="B251" s="8" t="s">
        <v>72</v>
      </c>
      <c r="C251" s="17" t="s">
        <v>777</v>
      </c>
      <c r="D251" s="9" t="s">
        <v>236</v>
      </c>
      <c r="E251" s="9" t="s">
        <v>236</v>
      </c>
      <c r="F251" s="9" t="s">
        <v>237</v>
      </c>
      <c r="G251" s="9" t="s">
        <v>237</v>
      </c>
      <c r="H251" s="9" t="str">
        <f t="shared" si="3"/>
        <v>PASS</v>
      </c>
      <c r="I251" s="8" t="s">
        <v>41</v>
      </c>
      <c r="J251" s="8" t="s">
        <v>445</v>
      </c>
      <c r="K251" s="9" t="s">
        <v>744</v>
      </c>
      <c r="L251" s="8"/>
      <c r="M251" s="8" t="s">
        <v>745</v>
      </c>
    </row>
    <row r="252" spans="1:13" ht="26.4" x14ac:dyDescent="0.3">
      <c r="A252" s="8" t="s">
        <v>778</v>
      </c>
      <c r="B252" s="8" t="s">
        <v>72</v>
      </c>
      <c r="C252" s="17" t="s">
        <v>779</v>
      </c>
      <c r="D252" s="9" t="s">
        <v>236</v>
      </c>
      <c r="E252" s="9" t="s">
        <v>236</v>
      </c>
      <c r="F252" s="9" t="s">
        <v>237</v>
      </c>
      <c r="G252" s="9" t="s">
        <v>237</v>
      </c>
      <c r="H252" s="9" t="str">
        <f t="shared" si="3"/>
        <v>PASS</v>
      </c>
      <c r="I252" s="8" t="s">
        <v>41</v>
      </c>
      <c r="J252" s="8" t="s">
        <v>445</v>
      </c>
      <c r="K252" s="9" t="s">
        <v>744</v>
      </c>
      <c r="L252" s="8"/>
      <c r="M252" s="8" t="s">
        <v>745</v>
      </c>
    </row>
    <row r="253" spans="1:13" ht="26.4" x14ac:dyDescent="0.3">
      <c r="A253" s="8" t="s">
        <v>780</v>
      </c>
      <c r="B253" s="8" t="s">
        <v>72</v>
      </c>
      <c r="C253" s="17" t="s">
        <v>781</v>
      </c>
      <c r="D253" s="9" t="s">
        <v>236</v>
      </c>
      <c r="E253" s="9" t="s">
        <v>236</v>
      </c>
      <c r="F253" s="9" t="s">
        <v>237</v>
      </c>
      <c r="G253" s="9" t="s">
        <v>237</v>
      </c>
      <c r="H253" s="9" t="str">
        <f t="shared" si="3"/>
        <v>PASS</v>
      </c>
      <c r="I253" s="8" t="s">
        <v>41</v>
      </c>
      <c r="J253" s="8" t="s">
        <v>445</v>
      </c>
      <c r="K253" s="9" t="s">
        <v>744</v>
      </c>
      <c r="L253" s="8"/>
      <c r="M253" s="8" t="s">
        <v>745</v>
      </c>
    </row>
    <row r="254" spans="1:13" ht="26.4" x14ac:dyDescent="0.3">
      <c r="A254" s="8" t="s">
        <v>782</v>
      </c>
      <c r="B254" s="8" t="s">
        <v>72</v>
      </c>
      <c r="C254" s="17" t="s">
        <v>783</v>
      </c>
      <c r="D254" s="9" t="s">
        <v>236</v>
      </c>
      <c r="E254" s="9" t="s">
        <v>236</v>
      </c>
      <c r="F254" s="9" t="s">
        <v>237</v>
      </c>
      <c r="G254" s="9" t="s">
        <v>237</v>
      </c>
      <c r="H254" s="9" t="str">
        <f t="shared" si="3"/>
        <v>PASS</v>
      </c>
      <c r="I254" s="8" t="s">
        <v>41</v>
      </c>
      <c r="J254" s="8" t="s">
        <v>445</v>
      </c>
      <c r="K254" s="9" t="s">
        <v>744</v>
      </c>
      <c r="L254" s="8"/>
      <c r="M254" s="8" t="s">
        <v>745</v>
      </c>
    </row>
    <row r="255" spans="1:13" ht="26.4" x14ac:dyDescent="0.3">
      <c r="A255" s="8" t="s">
        <v>784</v>
      </c>
      <c r="B255" s="8" t="s">
        <v>72</v>
      </c>
      <c r="C255" s="17" t="s">
        <v>785</v>
      </c>
      <c r="D255" s="9" t="s">
        <v>236</v>
      </c>
      <c r="E255" s="9" t="s">
        <v>236</v>
      </c>
      <c r="F255" s="9" t="s">
        <v>237</v>
      </c>
      <c r="G255" s="9" t="s">
        <v>237</v>
      </c>
      <c r="H255" s="9" t="str">
        <f t="shared" si="3"/>
        <v>PASS</v>
      </c>
      <c r="I255" s="8" t="s">
        <v>41</v>
      </c>
      <c r="J255" s="8" t="s">
        <v>445</v>
      </c>
      <c r="K255" s="9" t="s">
        <v>744</v>
      </c>
      <c r="L255" s="8"/>
      <c r="M255" s="8" t="s">
        <v>745</v>
      </c>
    </row>
    <row r="256" spans="1:13" ht="26.4" x14ac:dyDescent="0.3">
      <c r="A256" s="8" t="s">
        <v>786</v>
      </c>
      <c r="B256" s="8" t="s">
        <v>72</v>
      </c>
      <c r="C256" s="17" t="s">
        <v>787</v>
      </c>
      <c r="D256" s="9" t="s">
        <v>236</v>
      </c>
      <c r="E256" s="9" t="s">
        <v>236</v>
      </c>
      <c r="F256" s="9" t="s">
        <v>237</v>
      </c>
      <c r="G256" s="9" t="s">
        <v>237</v>
      </c>
      <c r="H256" s="9" t="str">
        <f t="shared" si="3"/>
        <v>PASS</v>
      </c>
      <c r="I256" s="8" t="s">
        <v>41</v>
      </c>
      <c r="J256" s="8" t="s">
        <v>445</v>
      </c>
      <c r="K256" s="9" t="s">
        <v>744</v>
      </c>
      <c r="L256" s="8"/>
      <c r="M256" s="8" t="s">
        <v>745</v>
      </c>
    </row>
    <row r="257" spans="1:13" ht="26.4" x14ac:dyDescent="0.3">
      <c r="A257" s="8" t="s">
        <v>788</v>
      </c>
      <c r="B257" s="8" t="s">
        <v>72</v>
      </c>
      <c r="C257" s="17" t="s">
        <v>789</v>
      </c>
      <c r="D257" s="9" t="s">
        <v>236</v>
      </c>
      <c r="E257" s="9" t="s">
        <v>236</v>
      </c>
      <c r="F257" s="9" t="s">
        <v>237</v>
      </c>
      <c r="G257" s="9" t="s">
        <v>237</v>
      </c>
      <c r="H257" s="9" t="str">
        <f t="shared" si="3"/>
        <v>PASS</v>
      </c>
      <c r="I257" s="8" t="s">
        <v>41</v>
      </c>
      <c r="J257" s="8" t="s">
        <v>445</v>
      </c>
      <c r="K257" s="9" t="s">
        <v>744</v>
      </c>
      <c r="L257" s="8"/>
      <c r="M257" s="8" t="s">
        <v>745</v>
      </c>
    </row>
    <row r="258" spans="1:13" ht="26.4" x14ac:dyDescent="0.3">
      <c r="A258" s="8" t="s">
        <v>790</v>
      </c>
      <c r="B258" s="8" t="s">
        <v>72</v>
      </c>
      <c r="C258" s="17" t="s">
        <v>791</v>
      </c>
      <c r="D258" s="9" t="s">
        <v>236</v>
      </c>
      <c r="E258" s="9" t="s">
        <v>236</v>
      </c>
      <c r="F258" s="9" t="s">
        <v>237</v>
      </c>
      <c r="G258" s="9" t="s">
        <v>237</v>
      </c>
      <c r="H258" s="9" t="str">
        <f t="shared" ref="H258:H321" si="4">IF(G258=F258,"PASS","FAIL")</f>
        <v>PASS</v>
      </c>
      <c r="I258" s="8" t="s">
        <v>41</v>
      </c>
      <c r="J258" s="8" t="s">
        <v>445</v>
      </c>
      <c r="K258" s="9" t="s">
        <v>744</v>
      </c>
      <c r="L258" s="8"/>
      <c r="M258" s="8" t="s">
        <v>745</v>
      </c>
    </row>
    <row r="259" spans="1:13" ht="26.4" x14ac:dyDescent="0.3">
      <c r="A259" s="8" t="s">
        <v>792</v>
      </c>
      <c r="B259" s="8" t="s">
        <v>72</v>
      </c>
      <c r="C259" s="17" t="s">
        <v>793</v>
      </c>
      <c r="D259" s="9" t="s">
        <v>236</v>
      </c>
      <c r="E259" s="9" t="s">
        <v>236</v>
      </c>
      <c r="F259" s="9" t="s">
        <v>237</v>
      </c>
      <c r="G259" s="9" t="s">
        <v>237</v>
      </c>
      <c r="H259" s="9" t="str">
        <f t="shared" si="4"/>
        <v>PASS</v>
      </c>
      <c r="I259" s="8" t="s">
        <v>41</v>
      </c>
      <c r="J259" s="8" t="s">
        <v>445</v>
      </c>
      <c r="K259" s="9" t="s">
        <v>744</v>
      </c>
      <c r="L259" s="8"/>
      <c r="M259" s="8" t="s">
        <v>745</v>
      </c>
    </row>
    <row r="260" spans="1:13" ht="26.4" x14ac:dyDescent="0.3">
      <c r="A260" s="8" t="s">
        <v>794</v>
      </c>
      <c r="B260" s="8" t="s">
        <v>72</v>
      </c>
      <c r="C260" s="17" t="s">
        <v>172</v>
      </c>
      <c r="D260" s="9" t="s">
        <v>236</v>
      </c>
      <c r="E260" s="9" t="s">
        <v>236</v>
      </c>
      <c r="F260" s="9" t="s">
        <v>242</v>
      </c>
      <c r="G260" s="9" t="s">
        <v>242</v>
      </c>
      <c r="H260" s="9" t="str">
        <f t="shared" si="4"/>
        <v>PASS</v>
      </c>
      <c r="I260" s="8" t="s">
        <v>168</v>
      </c>
      <c r="J260" s="8" t="s">
        <v>168</v>
      </c>
      <c r="K260" s="9" t="s">
        <v>744</v>
      </c>
      <c r="L260" s="11" t="s">
        <v>795</v>
      </c>
      <c r="M260" s="8" t="s">
        <v>745</v>
      </c>
    </row>
    <row r="261" spans="1:13" x14ac:dyDescent="0.3">
      <c r="A261" s="8" t="s">
        <v>796</v>
      </c>
      <c r="B261" s="8" t="s">
        <v>72</v>
      </c>
      <c r="C261" s="17" t="s">
        <v>797</v>
      </c>
      <c r="D261" s="9" t="s">
        <v>236</v>
      </c>
      <c r="E261" s="9" t="s">
        <v>236</v>
      </c>
      <c r="F261" s="9" t="s">
        <v>242</v>
      </c>
      <c r="G261" s="9" t="s">
        <v>242</v>
      </c>
      <c r="H261" s="9" t="str">
        <f t="shared" si="4"/>
        <v>PASS</v>
      </c>
      <c r="I261" s="8" t="s">
        <v>168</v>
      </c>
      <c r="J261" s="8" t="s">
        <v>168</v>
      </c>
      <c r="K261" s="9" t="s">
        <v>744</v>
      </c>
      <c r="L261" s="8"/>
      <c r="M261" s="8" t="s">
        <v>745</v>
      </c>
    </row>
    <row r="262" spans="1:13" x14ac:dyDescent="0.3">
      <c r="A262" s="8" t="s">
        <v>798</v>
      </c>
      <c r="B262" s="8" t="s">
        <v>72</v>
      </c>
      <c r="C262" s="17" t="s">
        <v>799</v>
      </c>
      <c r="D262" s="9" t="s">
        <v>236</v>
      </c>
      <c r="E262" s="9" t="s">
        <v>236</v>
      </c>
      <c r="F262" s="9" t="s">
        <v>242</v>
      </c>
      <c r="G262" s="9" t="s">
        <v>242</v>
      </c>
      <c r="H262" s="9" t="str">
        <f t="shared" si="4"/>
        <v>PASS</v>
      </c>
      <c r="I262" s="8" t="s">
        <v>168</v>
      </c>
      <c r="J262" s="8" t="s">
        <v>168</v>
      </c>
      <c r="K262" s="9" t="s">
        <v>744</v>
      </c>
      <c r="L262" s="8"/>
      <c r="M262" s="8" t="s">
        <v>745</v>
      </c>
    </row>
    <row r="263" spans="1:13" x14ac:dyDescent="0.3">
      <c r="A263" s="8" t="s">
        <v>800</v>
      </c>
      <c r="B263" s="8" t="s">
        <v>72</v>
      </c>
      <c r="C263" s="17" t="s">
        <v>801</v>
      </c>
      <c r="D263" s="9" t="s">
        <v>236</v>
      </c>
      <c r="E263" s="9" t="s">
        <v>236</v>
      </c>
      <c r="F263" s="9" t="s">
        <v>242</v>
      </c>
      <c r="G263" s="9" t="s">
        <v>242</v>
      </c>
      <c r="H263" s="9" t="str">
        <f t="shared" si="4"/>
        <v>PASS</v>
      </c>
      <c r="I263" s="8" t="s">
        <v>168</v>
      </c>
      <c r="J263" s="8" t="s">
        <v>168</v>
      </c>
      <c r="K263" s="9" t="s">
        <v>744</v>
      </c>
      <c r="L263" s="8"/>
      <c r="M263" s="8" t="s">
        <v>745</v>
      </c>
    </row>
    <row r="264" spans="1:13" ht="39.6" x14ac:dyDescent="0.3">
      <c r="A264" s="8" t="s">
        <v>802</v>
      </c>
      <c r="B264" s="8" t="s">
        <v>74</v>
      </c>
      <c r="C264" s="17" t="s">
        <v>803</v>
      </c>
      <c r="D264" s="9" t="s">
        <v>236</v>
      </c>
      <c r="E264" s="9" t="s">
        <v>236</v>
      </c>
      <c r="F264" s="9" t="s">
        <v>237</v>
      </c>
      <c r="G264" s="9" t="s">
        <v>237</v>
      </c>
      <c r="H264" s="9" t="str">
        <f t="shared" si="4"/>
        <v>PASS</v>
      </c>
      <c r="I264" s="8" t="s">
        <v>49</v>
      </c>
      <c r="J264" s="8" t="s">
        <v>804</v>
      </c>
      <c r="K264" s="9" t="s">
        <v>744</v>
      </c>
      <c r="L264" s="8"/>
      <c r="M264" s="8" t="s">
        <v>745</v>
      </c>
    </row>
    <row r="265" spans="1:13" ht="52.8" x14ac:dyDescent="0.3">
      <c r="A265" s="8" t="s">
        <v>805</v>
      </c>
      <c r="B265" s="8" t="s">
        <v>74</v>
      </c>
      <c r="C265" s="17" t="s">
        <v>806</v>
      </c>
      <c r="D265" s="9" t="s">
        <v>236</v>
      </c>
      <c r="E265" s="9" t="s">
        <v>236</v>
      </c>
      <c r="F265" s="9" t="s">
        <v>237</v>
      </c>
      <c r="G265" s="9" t="s">
        <v>237</v>
      </c>
      <c r="H265" s="9" t="str">
        <f t="shared" si="4"/>
        <v>PASS</v>
      </c>
      <c r="I265" s="8" t="s">
        <v>49</v>
      </c>
      <c r="J265" s="8" t="s">
        <v>807</v>
      </c>
      <c r="K265" s="9" t="s">
        <v>744</v>
      </c>
      <c r="L265" s="8"/>
      <c r="M265" s="8" t="s">
        <v>745</v>
      </c>
    </row>
    <row r="266" spans="1:13" ht="26.4" x14ac:dyDescent="0.3">
      <c r="A266" s="8" t="s">
        <v>808</v>
      </c>
      <c r="B266" s="8" t="s">
        <v>74</v>
      </c>
      <c r="C266" s="17" t="s">
        <v>809</v>
      </c>
      <c r="D266" s="9" t="s">
        <v>236</v>
      </c>
      <c r="E266" s="9" t="s">
        <v>236</v>
      </c>
      <c r="F266" s="9" t="s">
        <v>237</v>
      </c>
      <c r="G266" s="9" t="s">
        <v>237</v>
      </c>
      <c r="H266" s="9" t="str">
        <f t="shared" si="4"/>
        <v>PASS</v>
      </c>
      <c r="I266" s="8" t="s">
        <v>49</v>
      </c>
      <c r="J266" s="8" t="s">
        <v>810</v>
      </c>
      <c r="K266" s="9" t="s">
        <v>744</v>
      </c>
      <c r="L266" s="8"/>
      <c r="M266" s="8" t="s">
        <v>745</v>
      </c>
    </row>
    <row r="267" spans="1:13" ht="26.4" x14ac:dyDescent="0.3">
      <c r="A267" s="8" t="s">
        <v>811</v>
      </c>
      <c r="B267" s="8" t="s">
        <v>74</v>
      </c>
      <c r="C267" s="17" t="s">
        <v>812</v>
      </c>
      <c r="D267" s="9" t="s">
        <v>236</v>
      </c>
      <c r="E267" s="9" t="s">
        <v>236</v>
      </c>
      <c r="F267" s="9" t="s">
        <v>237</v>
      </c>
      <c r="G267" s="9" t="s">
        <v>237</v>
      </c>
      <c r="H267" s="9" t="str">
        <f t="shared" si="4"/>
        <v>PASS</v>
      </c>
      <c r="I267" s="8" t="s">
        <v>49</v>
      </c>
      <c r="J267" s="8" t="s">
        <v>813</v>
      </c>
      <c r="K267" s="9" t="s">
        <v>744</v>
      </c>
      <c r="L267" s="8"/>
      <c r="M267" s="8" t="s">
        <v>745</v>
      </c>
    </row>
    <row r="268" spans="1:13" ht="39.6" x14ac:dyDescent="0.3">
      <c r="A268" s="8" t="s">
        <v>814</v>
      </c>
      <c r="B268" s="8" t="s">
        <v>74</v>
      </c>
      <c r="C268" s="17" t="s">
        <v>815</v>
      </c>
      <c r="D268" s="9" t="s">
        <v>236</v>
      </c>
      <c r="E268" s="9" t="s">
        <v>236</v>
      </c>
      <c r="F268" s="9" t="s">
        <v>237</v>
      </c>
      <c r="G268" s="9" t="s">
        <v>237</v>
      </c>
      <c r="H268" s="9" t="str">
        <f t="shared" si="4"/>
        <v>PASS</v>
      </c>
      <c r="I268" s="8" t="s">
        <v>49</v>
      </c>
      <c r="J268" s="8" t="s">
        <v>816</v>
      </c>
      <c r="K268" s="9" t="s">
        <v>744</v>
      </c>
      <c r="L268" s="8"/>
      <c r="M268" s="8" t="s">
        <v>745</v>
      </c>
    </row>
    <row r="269" spans="1:13" ht="26.4" x14ac:dyDescent="0.3">
      <c r="A269" s="8" t="s">
        <v>817</v>
      </c>
      <c r="B269" s="8" t="s">
        <v>74</v>
      </c>
      <c r="C269" s="17" t="s">
        <v>818</v>
      </c>
      <c r="D269" s="9" t="s">
        <v>236</v>
      </c>
      <c r="E269" s="9" t="s">
        <v>236</v>
      </c>
      <c r="F269" s="9" t="s">
        <v>237</v>
      </c>
      <c r="G269" s="9" t="s">
        <v>237</v>
      </c>
      <c r="H269" s="9" t="str">
        <f t="shared" si="4"/>
        <v>PASS</v>
      </c>
      <c r="I269" s="8" t="s">
        <v>49</v>
      </c>
      <c r="J269" s="8" t="s">
        <v>819</v>
      </c>
      <c r="K269" s="9" t="s">
        <v>744</v>
      </c>
      <c r="L269" s="8"/>
      <c r="M269" s="8" t="s">
        <v>745</v>
      </c>
    </row>
    <row r="270" spans="1:13" x14ac:dyDescent="0.3">
      <c r="A270" s="8" t="s">
        <v>820</v>
      </c>
      <c r="B270" s="8" t="s">
        <v>74</v>
      </c>
      <c r="C270" s="17" t="s">
        <v>821</v>
      </c>
      <c r="D270" s="9" t="s">
        <v>236</v>
      </c>
      <c r="E270" s="9" t="s">
        <v>236</v>
      </c>
      <c r="F270" s="9" t="s">
        <v>242</v>
      </c>
      <c r="G270" s="9" t="s">
        <v>242</v>
      </c>
      <c r="H270" s="9" t="str">
        <f t="shared" si="4"/>
        <v>PASS</v>
      </c>
      <c r="I270" s="8" t="s">
        <v>168</v>
      </c>
      <c r="J270" s="8" t="s">
        <v>168</v>
      </c>
      <c r="K270" s="9" t="s">
        <v>744</v>
      </c>
      <c r="L270" s="8"/>
      <c r="M270" s="8" t="s">
        <v>745</v>
      </c>
    </row>
    <row r="271" spans="1:13" x14ac:dyDescent="0.3">
      <c r="A271" s="8" t="s">
        <v>822</v>
      </c>
      <c r="B271" s="8" t="s">
        <v>76</v>
      </c>
      <c r="C271" s="17" t="s">
        <v>202</v>
      </c>
      <c r="D271" s="9" t="s">
        <v>236</v>
      </c>
      <c r="E271" s="9" t="s">
        <v>236</v>
      </c>
      <c r="F271" s="9" t="s">
        <v>237</v>
      </c>
      <c r="G271" s="9" t="s">
        <v>237</v>
      </c>
      <c r="H271" s="9" t="str">
        <f t="shared" si="4"/>
        <v>PASS</v>
      </c>
      <c r="I271" s="8" t="s">
        <v>76</v>
      </c>
      <c r="J271" s="8" t="s">
        <v>823</v>
      </c>
      <c r="K271" s="9" t="s">
        <v>744</v>
      </c>
      <c r="L271" s="8"/>
      <c r="M271" s="8" t="s">
        <v>745</v>
      </c>
    </row>
    <row r="272" spans="1:13" ht="26.4" x14ac:dyDescent="0.3">
      <c r="A272" s="8" t="s">
        <v>824</v>
      </c>
      <c r="B272" s="8" t="s">
        <v>76</v>
      </c>
      <c r="C272" s="17" t="s">
        <v>825</v>
      </c>
      <c r="D272" s="9" t="s">
        <v>236</v>
      </c>
      <c r="E272" s="9" t="s">
        <v>236</v>
      </c>
      <c r="F272" s="9" t="s">
        <v>237</v>
      </c>
      <c r="G272" s="9" t="s">
        <v>237</v>
      </c>
      <c r="H272" s="9" t="str">
        <f t="shared" si="4"/>
        <v>PASS</v>
      </c>
      <c r="I272" s="8" t="s">
        <v>76</v>
      </c>
      <c r="J272" s="8" t="s">
        <v>826</v>
      </c>
      <c r="K272" s="9" t="s">
        <v>744</v>
      </c>
      <c r="L272" s="8"/>
      <c r="M272" s="8" t="s">
        <v>745</v>
      </c>
    </row>
    <row r="273" spans="1:13" ht="25.2" x14ac:dyDescent="0.3">
      <c r="A273" s="8" t="s">
        <v>827</v>
      </c>
      <c r="B273" s="8" t="s">
        <v>76</v>
      </c>
      <c r="C273" s="17" t="s">
        <v>828</v>
      </c>
      <c r="D273" s="9" t="s">
        <v>236</v>
      </c>
      <c r="E273" s="9" t="s">
        <v>236</v>
      </c>
      <c r="F273" s="9" t="s">
        <v>237</v>
      </c>
      <c r="G273" s="9" t="s">
        <v>237</v>
      </c>
      <c r="H273" s="9" t="str">
        <f t="shared" si="4"/>
        <v>PASS</v>
      </c>
      <c r="I273" s="8" t="s">
        <v>76</v>
      </c>
      <c r="J273" s="8" t="s">
        <v>823</v>
      </c>
      <c r="K273" s="9" t="s">
        <v>744</v>
      </c>
      <c r="L273" s="8"/>
      <c r="M273" s="8" t="s">
        <v>745</v>
      </c>
    </row>
    <row r="274" spans="1:13" x14ac:dyDescent="0.3">
      <c r="A274" s="8" t="s">
        <v>829</v>
      </c>
      <c r="B274" s="8" t="s">
        <v>76</v>
      </c>
      <c r="C274" s="17" t="s">
        <v>148</v>
      </c>
      <c r="D274" s="9" t="s">
        <v>236</v>
      </c>
      <c r="E274" s="9" t="s">
        <v>236</v>
      </c>
      <c r="F274" s="9" t="s">
        <v>242</v>
      </c>
      <c r="G274" s="9" t="s">
        <v>242</v>
      </c>
      <c r="H274" s="9" t="str">
        <f t="shared" si="4"/>
        <v>PASS</v>
      </c>
      <c r="I274" s="8" t="s">
        <v>168</v>
      </c>
      <c r="J274" s="8" t="s">
        <v>168</v>
      </c>
      <c r="K274" s="9" t="s">
        <v>744</v>
      </c>
      <c r="L274" s="8"/>
      <c r="M274" s="8" t="s">
        <v>745</v>
      </c>
    </row>
    <row r="275" spans="1:13" x14ac:dyDescent="0.3">
      <c r="A275" s="8" t="s">
        <v>830</v>
      </c>
      <c r="B275" s="8" t="s">
        <v>78</v>
      </c>
      <c r="C275" s="17" t="s">
        <v>206</v>
      </c>
      <c r="D275" s="9" t="s">
        <v>236</v>
      </c>
      <c r="E275" s="9" t="s">
        <v>236</v>
      </c>
      <c r="F275" s="9" t="s">
        <v>237</v>
      </c>
      <c r="G275" s="9" t="s">
        <v>237</v>
      </c>
      <c r="H275" s="9" t="str">
        <f t="shared" si="4"/>
        <v>PASS</v>
      </c>
      <c r="I275" s="8" t="s">
        <v>203</v>
      </c>
      <c r="J275" s="8" t="s">
        <v>831</v>
      </c>
      <c r="K275" s="9" t="s">
        <v>744</v>
      </c>
      <c r="L275" s="8"/>
      <c r="M275" s="8" t="s">
        <v>745</v>
      </c>
    </row>
    <row r="276" spans="1:13" x14ac:dyDescent="0.3">
      <c r="A276" s="8" t="s">
        <v>832</v>
      </c>
      <c r="B276" s="8" t="s">
        <v>78</v>
      </c>
      <c r="C276" s="17" t="s">
        <v>833</v>
      </c>
      <c r="D276" s="9" t="s">
        <v>236</v>
      </c>
      <c r="E276" s="9" t="s">
        <v>236</v>
      </c>
      <c r="F276" s="9" t="s">
        <v>237</v>
      </c>
      <c r="G276" s="9" t="s">
        <v>237</v>
      </c>
      <c r="H276" s="9" t="str">
        <f t="shared" si="4"/>
        <v>PASS</v>
      </c>
      <c r="I276" s="8" t="s">
        <v>203</v>
      </c>
      <c r="J276" s="8" t="s">
        <v>834</v>
      </c>
      <c r="K276" s="9" t="s">
        <v>744</v>
      </c>
      <c r="L276" s="8"/>
      <c r="M276" s="8" t="s">
        <v>745</v>
      </c>
    </row>
    <row r="277" spans="1:13" ht="25.2" x14ac:dyDescent="0.3">
      <c r="A277" s="8" t="s">
        <v>835</v>
      </c>
      <c r="B277" s="8" t="s">
        <v>78</v>
      </c>
      <c r="C277" s="17" t="s">
        <v>836</v>
      </c>
      <c r="D277" s="9" t="s">
        <v>236</v>
      </c>
      <c r="E277" s="9" t="s">
        <v>236</v>
      </c>
      <c r="F277" s="9" t="s">
        <v>237</v>
      </c>
      <c r="G277" s="9" t="s">
        <v>237</v>
      </c>
      <c r="H277" s="9" t="str">
        <f t="shared" si="4"/>
        <v>PASS</v>
      </c>
      <c r="I277" s="8" t="s">
        <v>208</v>
      </c>
      <c r="J277" s="8" t="s">
        <v>837</v>
      </c>
      <c r="K277" s="9" t="s">
        <v>744</v>
      </c>
      <c r="L277" s="8"/>
      <c r="M277" s="8" t="s">
        <v>745</v>
      </c>
    </row>
    <row r="278" spans="1:13" x14ac:dyDescent="0.3">
      <c r="A278" s="8" t="s">
        <v>838</v>
      </c>
      <c r="B278" s="8" t="s">
        <v>78</v>
      </c>
      <c r="C278" s="17" t="s">
        <v>207</v>
      </c>
      <c r="D278" s="9" t="s">
        <v>236</v>
      </c>
      <c r="E278" s="9" t="s">
        <v>236</v>
      </c>
      <c r="F278" s="9" t="s">
        <v>242</v>
      </c>
      <c r="G278" s="9" t="s">
        <v>242</v>
      </c>
      <c r="H278" s="9" t="str">
        <f t="shared" si="4"/>
        <v>PASS</v>
      </c>
      <c r="I278" s="8" t="s">
        <v>168</v>
      </c>
      <c r="J278" s="8" t="s">
        <v>168</v>
      </c>
      <c r="K278" s="9" t="s">
        <v>744</v>
      </c>
      <c r="L278" s="8"/>
      <c r="M278" s="8" t="s">
        <v>745</v>
      </c>
    </row>
    <row r="279" spans="1:13" x14ac:dyDescent="0.3">
      <c r="A279" s="8" t="s">
        <v>839</v>
      </c>
      <c r="B279" s="8" t="s">
        <v>78</v>
      </c>
      <c r="C279" s="17" t="s">
        <v>840</v>
      </c>
      <c r="D279" s="9" t="s">
        <v>236</v>
      </c>
      <c r="E279" s="9" t="s">
        <v>236</v>
      </c>
      <c r="F279" s="9" t="s">
        <v>242</v>
      </c>
      <c r="G279" s="9" t="s">
        <v>242</v>
      </c>
      <c r="H279" s="9" t="str">
        <f t="shared" si="4"/>
        <v>PASS</v>
      </c>
      <c r="I279" s="8" t="s">
        <v>168</v>
      </c>
      <c r="J279" s="8" t="s">
        <v>168</v>
      </c>
      <c r="K279" s="9" t="s">
        <v>744</v>
      </c>
      <c r="L279" s="8"/>
      <c r="M279" s="8" t="s">
        <v>745</v>
      </c>
    </row>
    <row r="280" spans="1:13" ht="25.2" x14ac:dyDescent="0.3">
      <c r="A280" s="8" t="s">
        <v>841</v>
      </c>
      <c r="B280" s="8" t="s">
        <v>78</v>
      </c>
      <c r="C280" s="17" t="s">
        <v>842</v>
      </c>
      <c r="D280" s="9" t="s">
        <v>236</v>
      </c>
      <c r="E280" s="9" t="s">
        <v>236</v>
      </c>
      <c r="F280" s="9" t="s">
        <v>242</v>
      </c>
      <c r="G280" s="9" t="s">
        <v>242</v>
      </c>
      <c r="H280" s="9" t="str">
        <f t="shared" si="4"/>
        <v>PASS</v>
      </c>
      <c r="I280" s="8" t="s">
        <v>168</v>
      </c>
      <c r="J280" s="8" t="s">
        <v>168</v>
      </c>
      <c r="K280" s="9" t="s">
        <v>744</v>
      </c>
      <c r="L280" s="8"/>
      <c r="M280" s="8" t="s">
        <v>745</v>
      </c>
    </row>
    <row r="281" spans="1:13" ht="26.4" x14ac:dyDescent="0.3">
      <c r="A281" s="8" t="s">
        <v>843</v>
      </c>
      <c r="B281" s="8" t="s">
        <v>81</v>
      </c>
      <c r="C281" s="17" t="s">
        <v>844</v>
      </c>
      <c r="D281" s="9" t="s">
        <v>236</v>
      </c>
      <c r="E281" s="9" t="s">
        <v>236</v>
      </c>
      <c r="F281" s="9" t="s">
        <v>237</v>
      </c>
      <c r="G281" s="9" t="s">
        <v>237</v>
      </c>
      <c r="H281" s="9" t="str">
        <f t="shared" si="4"/>
        <v>PASS</v>
      </c>
      <c r="I281" s="8" t="s">
        <v>44</v>
      </c>
      <c r="J281" s="8" t="s">
        <v>497</v>
      </c>
      <c r="K281" s="9" t="s">
        <v>744</v>
      </c>
      <c r="L281" s="8"/>
      <c r="M281" s="8" t="s">
        <v>745</v>
      </c>
    </row>
    <row r="282" spans="1:13" ht="26.4" x14ac:dyDescent="0.3">
      <c r="A282" s="8" t="s">
        <v>845</v>
      </c>
      <c r="B282" s="8" t="s">
        <v>81</v>
      </c>
      <c r="C282" s="17" t="s">
        <v>846</v>
      </c>
      <c r="D282" s="9" t="s">
        <v>236</v>
      </c>
      <c r="E282" s="9" t="s">
        <v>236</v>
      </c>
      <c r="F282" s="9" t="s">
        <v>237</v>
      </c>
      <c r="G282" s="9" t="s">
        <v>237</v>
      </c>
      <c r="H282" s="9" t="str">
        <f t="shared" si="4"/>
        <v>PASS</v>
      </c>
      <c r="I282" s="8" t="s">
        <v>44</v>
      </c>
      <c r="J282" s="8" t="s">
        <v>497</v>
      </c>
      <c r="K282" s="9" t="s">
        <v>744</v>
      </c>
      <c r="L282" s="8"/>
      <c r="M282" s="8" t="s">
        <v>745</v>
      </c>
    </row>
    <row r="283" spans="1:13" ht="26.4" x14ac:dyDescent="0.3">
      <c r="A283" s="8" t="s">
        <v>847</v>
      </c>
      <c r="B283" s="8" t="s">
        <v>81</v>
      </c>
      <c r="C283" s="17" t="s">
        <v>848</v>
      </c>
      <c r="D283" s="9" t="s">
        <v>236</v>
      </c>
      <c r="E283" s="9" t="s">
        <v>236</v>
      </c>
      <c r="F283" s="9" t="s">
        <v>237</v>
      </c>
      <c r="G283" s="9" t="s">
        <v>237</v>
      </c>
      <c r="H283" s="9" t="str">
        <f t="shared" si="4"/>
        <v>PASS</v>
      </c>
      <c r="I283" s="8" t="s">
        <v>44</v>
      </c>
      <c r="J283" s="8" t="s">
        <v>497</v>
      </c>
      <c r="K283" s="9" t="s">
        <v>744</v>
      </c>
      <c r="L283" s="8"/>
      <c r="M283" s="8" t="s">
        <v>745</v>
      </c>
    </row>
    <row r="284" spans="1:13" ht="26.4" x14ac:dyDescent="0.3">
      <c r="A284" s="8" t="s">
        <v>849</v>
      </c>
      <c r="B284" s="8" t="s">
        <v>81</v>
      </c>
      <c r="C284" s="17" t="s">
        <v>850</v>
      </c>
      <c r="D284" s="9" t="s">
        <v>236</v>
      </c>
      <c r="E284" s="9" t="s">
        <v>236</v>
      </c>
      <c r="F284" s="9" t="s">
        <v>237</v>
      </c>
      <c r="G284" s="9" t="s">
        <v>237</v>
      </c>
      <c r="H284" s="9" t="str">
        <f t="shared" si="4"/>
        <v>PASS</v>
      </c>
      <c r="I284" s="8" t="s">
        <v>164</v>
      </c>
      <c r="J284" s="8" t="s">
        <v>851</v>
      </c>
      <c r="K284" s="9" t="s">
        <v>744</v>
      </c>
      <c r="L284" s="8"/>
      <c r="M284" s="8" t="s">
        <v>745</v>
      </c>
    </row>
    <row r="285" spans="1:13" x14ac:dyDescent="0.3">
      <c r="A285" s="8" t="s">
        <v>852</v>
      </c>
      <c r="B285" s="8" t="s">
        <v>81</v>
      </c>
      <c r="C285" s="17" t="s">
        <v>177</v>
      </c>
      <c r="D285" s="9" t="s">
        <v>236</v>
      </c>
      <c r="E285" s="9" t="s">
        <v>236</v>
      </c>
      <c r="F285" s="9" t="s">
        <v>242</v>
      </c>
      <c r="G285" s="9" t="s">
        <v>242</v>
      </c>
      <c r="H285" s="9" t="str">
        <f t="shared" si="4"/>
        <v>PASS</v>
      </c>
      <c r="I285" s="8" t="s">
        <v>168</v>
      </c>
      <c r="J285" s="8" t="s">
        <v>168</v>
      </c>
      <c r="K285" s="9" t="s">
        <v>744</v>
      </c>
      <c r="L285" s="11" t="s">
        <v>853</v>
      </c>
      <c r="M285" s="8" t="s">
        <v>745</v>
      </c>
    </row>
    <row r="286" spans="1:13" x14ac:dyDescent="0.3">
      <c r="A286" s="8" t="s">
        <v>854</v>
      </c>
      <c r="B286" s="8" t="s">
        <v>81</v>
      </c>
      <c r="C286" s="17" t="s">
        <v>855</v>
      </c>
      <c r="D286" s="9" t="s">
        <v>236</v>
      </c>
      <c r="E286" s="9" t="s">
        <v>236</v>
      </c>
      <c r="F286" s="9" t="s">
        <v>242</v>
      </c>
      <c r="G286" s="9" t="s">
        <v>242</v>
      </c>
      <c r="H286" s="9" t="str">
        <f t="shared" si="4"/>
        <v>PASS</v>
      </c>
      <c r="I286" s="8" t="s">
        <v>168</v>
      </c>
      <c r="J286" s="8" t="s">
        <v>168</v>
      </c>
      <c r="K286" s="9" t="s">
        <v>744</v>
      </c>
      <c r="L286" s="8"/>
      <c r="M286" s="8" t="s">
        <v>745</v>
      </c>
    </row>
    <row r="287" spans="1:13" x14ac:dyDescent="0.3">
      <c r="A287" s="8" t="s">
        <v>856</v>
      </c>
      <c r="B287" s="8" t="s">
        <v>81</v>
      </c>
      <c r="C287" s="17" t="s">
        <v>857</v>
      </c>
      <c r="D287" s="9" t="s">
        <v>236</v>
      </c>
      <c r="E287" s="9" t="s">
        <v>236</v>
      </c>
      <c r="F287" s="9" t="s">
        <v>242</v>
      </c>
      <c r="G287" s="9" t="s">
        <v>242</v>
      </c>
      <c r="H287" s="9" t="str">
        <f t="shared" si="4"/>
        <v>PASS</v>
      </c>
      <c r="I287" s="8" t="s">
        <v>168</v>
      </c>
      <c r="J287" s="8" t="s">
        <v>168</v>
      </c>
      <c r="K287" s="9" t="s">
        <v>744</v>
      </c>
      <c r="L287" s="8"/>
      <c r="M287" s="8" t="s">
        <v>745</v>
      </c>
    </row>
    <row r="288" spans="1:13" ht="26.4" x14ac:dyDescent="0.3">
      <c r="A288" s="8" t="s">
        <v>858</v>
      </c>
      <c r="B288" s="8" t="s">
        <v>81</v>
      </c>
      <c r="C288" s="17" t="s">
        <v>859</v>
      </c>
      <c r="D288" s="9" t="s">
        <v>236</v>
      </c>
      <c r="E288" s="9" t="s">
        <v>236</v>
      </c>
      <c r="F288" s="9" t="s">
        <v>237</v>
      </c>
      <c r="G288" s="9" t="s">
        <v>237</v>
      </c>
      <c r="H288" s="9" t="str">
        <f t="shared" si="4"/>
        <v>PASS</v>
      </c>
      <c r="I288" s="8" t="s">
        <v>44</v>
      </c>
      <c r="J288" s="8" t="s">
        <v>497</v>
      </c>
      <c r="K288" s="9" t="s">
        <v>744</v>
      </c>
      <c r="L288" s="11" t="s">
        <v>860</v>
      </c>
      <c r="M288" s="8" t="s">
        <v>745</v>
      </c>
    </row>
    <row r="289" spans="1:13" ht="26.4" x14ac:dyDescent="0.3">
      <c r="A289" s="8" t="s">
        <v>861</v>
      </c>
      <c r="B289" s="8" t="s">
        <v>83</v>
      </c>
      <c r="C289" s="17" t="s">
        <v>220</v>
      </c>
      <c r="D289" s="9" t="s">
        <v>236</v>
      </c>
      <c r="E289" s="9" t="s">
        <v>275</v>
      </c>
      <c r="F289" s="9" t="s">
        <v>237</v>
      </c>
      <c r="G289" s="9" t="s">
        <v>237</v>
      </c>
      <c r="H289" s="9" t="str">
        <f t="shared" si="4"/>
        <v>PASS</v>
      </c>
      <c r="I289" s="8" t="s">
        <v>217</v>
      </c>
      <c r="J289" s="8" t="s">
        <v>862</v>
      </c>
      <c r="K289" s="9" t="s">
        <v>744</v>
      </c>
      <c r="L289" s="8"/>
      <c r="M289" s="8" t="s">
        <v>745</v>
      </c>
    </row>
    <row r="290" spans="1:13" ht="26.4" x14ac:dyDescent="0.3">
      <c r="A290" s="8" t="s">
        <v>863</v>
      </c>
      <c r="B290" s="8" t="s">
        <v>83</v>
      </c>
      <c r="C290" s="17" t="s">
        <v>241</v>
      </c>
      <c r="D290" s="9" t="s">
        <v>236</v>
      </c>
      <c r="E290" s="9" t="s">
        <v>275</v>
      </c>
      <c r="F290" s="9" t="s">
        <v>237</v>
      </c>
      <c r="G290" s="9" t="s">
        <v>237</v>
      </c>
      <c r="H290" s="9" t="str">
        <f t="shared" si="4"/>
        <v>PASS</v>
      </c>
      <c r="I290" s="8" t="s">
        <v>217</v>
      </c>
      <c r="J290" s="8" t="s">
        <v>864</v>
      </c>
      <c r="K290" s="9" t="s">
        <v>744</v>
      </c>
      <c r="L290" s="8"/>
      <c r="M290" s="8" t="s">
        <v>745</v>
      </c>
    </row>
    <row r="291" spans="1:13" ht="26.4" x14ac:dyDescent="0.3">
      <c r="A291" s="8" t="s">
        <v>865</v>
      </c>
      <c r="B291" s="8" t="s">
        <v>83</v>
      </c>
      <c r="C291" s="17" t="s">
        <v>866</v>
      </c>
      <c r="D291" s="9" t="s">
        <v>236</v>
      </c>
      <c r="E291" s="9" t="s">
        <v>275</v>
      </c>
      <c r="F291" s="9" t="s">
        <v>237</v>
      </c>
      <c r="G291" s="9" t="s">
        <v>237</v>
      </c>
      <c r="H291" s="9" t="str">
        <f t="shared" si="4"/>
        <v>PASS</v>
      </c>
      <c r="I291" s="8" t="s">
        <v>217</v>
      </c>
      <c r="J291" s="8" t="s">
        <v>864</v>
      </c>
      <c r="K291" s="9" t="s">
        <v>744</v>
      </c>
      <c r="L291" s="8"/>
      <c r="M291" s="8" t="s">
        <v>745</v>
      </c>
    </row>
    <row r="292" spans="1:13" x14ac:dyDescent="0.3">
      <c r="A292" s="8" t="s">
        <v>867</v>
      </c>
      <c r="B292" s="8" t="s">
        <v>83</v>
      </c>
      <c r="C292" s="17" t="s">
        <v>216</v>
      </c>
      <c r="D292" s="9" t="s">
        <v>236</v>
      </c>
      <c r="E292" s="9" t="s">
        <v>275</v>
      </c>
      <c r="F292" s="9" t="s">
        <v>237</v>
      </c>
      <c r="G292" s="9" t="s">
        <v>237</v>
      </c>
      <c r="H292" s="9" t="str">
        <f t="shared" si="4"/>
        <v>PASS</v>
      </c>
      <c r="I292" s="8" t="s">
        <v>213</v>
      </c>
      <c r="J292" s="8" t="s">
        <v>868</v>
      </c>
      <c r="K292" s="9" t="s">
        <v>744</v>
      </c>
      <c r="L292" s="8"/>
      <c r="M292" s="8" t="s">
        <v>745</v>
      </c>
    </row>
    <row r="293" spans="1:13" ht="26.4" x14ac:dyDescent="0.3">
      <c r="A293" s="8" t="s">
        <v>869</v>
      </c>
      <c r="B293" s="8" t="s">
        <v>83</v>
      </c>
      <c r="C293" s="17" t="s">
        <v>870</v>
      </c>
      <c r="D293" s="9" t="s">
        <v>236</v>
      </c>
      <c r="E293" s="9" t="s">
        <v>275</v>
      </c>
      <c r="F293" s="9" t="s">
        <v>237</v>
      </c>
      <c r="G293" s="9" t="s">
        <v>237</v>
      </c>
      <c r="H293" s="9" t="str">
        <f t="shared" si="4"/>
        <v>PASS</v>
      </c>
      <c r="I293" s="8" t="s">
        <v>217</v>
      </c>
      <c r="J293" s="8" t="s">
        <v>862</v>
      </c>
      <c r="K293" s="9" t="s">
        <v>744</v>
      </c>
      <c r="L293" s="8"/>
      <c r="M293" s="8" t="s">
        <v>745</v>
      </c>
    </row>
    <row r="294" spans="1:13" ht="26.4" x14ac:dyDescent="0.3">
      <c r="A294" s="8" t="s">
        <v>871</v>
      </c>
      <c r="B294" s="8" t="s">
        <v>83</v>
      </c>
      <c r="C294" s="17" t="s">
        <v>872</v>
      </c>
      <c r="D294" s="9" t="s">
        <v>275</v>
      </c>
      <c r="E294" s="9" t="s">
        <v>275</v>
      </c>
      <c r="F294" s="9" t="s">
        <v>237</v>
      </c>
      <c r="G294" s="9" t="s">
        <v>237</v>
      </c>
      <c r="H294" s="9" t="str">
        <f t="shared" si="4"/>
        <v>PASS</v>
      </c>
      <c r="I294" s="8" t="s">
        <v>217</v>
      </c>
      <c r="J294" s="8" t="s">
        <v>862</v>
      </c>
      <c r="K294" s="9" t="s">
        <v>744</v>
      </c>
      <c r="L294" s="8"/>
      <c r="M294" s="8" t="s">
        <v>745</v>
      </c>
    </row>
    <row r="295" spans="1:13" ht="26.4" x14ac:dyDescent="0.3">
      <c r="A295" s="8" t="s">
        <v>873</v>
      </c>
      <c r="B295" s="8" t="s">
        <v>83</v>
      </c>
      <c r="C295" s="17" t="s">
        <v>874</v>
      </c>
      <c r="D295" s="9" t="s">
        <v>275</v>
      </c>
      <c r="E295" s="9" t="s">
        <v>275</v>
      </c>
      <c r="F295" s="9" t="s">
        <v>237</v>
      </c>
      <c r="G295" s="9" t="s">
        <v>237</v>
      </c>
      <c r="H295" s="9" t="str">
        <f t="shared" si="4"/>
        <v>PASS</v>
      </c>
      <c r="I295" s="8" t="s">
        <v>217</v>
      </c>
      <c r="J295" s="8" t="s">
        <v>864</v>
      </c>
      <c r="K295" s="9" t="s">
        <v>744</v>
      </c>
      <c r="L295" s="8"/>
      <c r="M295" s="8" t="s">
        <v>745</v>
      </c>
    </row>
    <row r="296" spans="1:13" ht="25.2" x14ac:dyDescent="0.3">
      <c r="A296" s="8" t="s">
        <v>875</v>
      </c>
      <c r="B296" s="8" t="s">
        <v>83</v>
      </c>
      <c r="C296" s="17" t="s">
        <v>876</v>
      </c>
      <c r="D296" s="9" t="s">
        <v>236</v>
      </c>
      <c r="E296" s="9" t="s">
        <v>275</v>
      </c>
      <c r="F296" s="9" t="s">
        <v>242</v>
      </c>
      <c r="G296" s="9" t="s">
        <v>242</v>
      </c>
      <c r="H296" s="9" t="str">
        <f t="shared" si="4"/>
        <v>PASS</v>
      </c>
      <c r="I296" s="8" t="s">
        <v>168</v>
      </c>
      <c r="J296" s="8" t="s">
        <v>168</v>
      </c>
      <c r="K296" s="9" t="s">
        <v>744</v>
      </c>
      <c r="L296" s="8"/>
      <c r="M296" s="8" t="s">
        <v>745</v>
      </c>
    </row>
    <row r="297" spans="1:13" x14ac:dyDescent="0.3">
      <c r="A297" s="8" t="s">
        <v>877</v>
      </c>
      <c r="B297" s="8" t="s">
        <v>83</v>
      </c>
      <c r="C297" s="17" t="s">
        <v>878</v>
      </c>
      <c r="D297" s="9" t="s">
        <v>236</v>
      </c>
      <c r="E297" s="9" t="s">
        <v>275</v>
      </c>
      <c r="F297" s="9" t="s">
        <v>242</v>
      </c>
      <c r="G297" s="9" t="s">
        <v>242</v>
      </c>
      <c r="H297" s="9" t="str">
        <f t="shared" si="4"/>
        <v>PASS</v>
      </c>
      <c r="I297" s="8" t="s">
        <v>168</v>
      </c>
      <c r="J297" s="8" t="s">
        <v>168</v>
      </c>
      <c r="K297" s="9" t="s">
        <v>744</v>
      </c>
      <c r="L297" s="8"/>
      <c r="M297" s="8" t="s">
        <v>745</v>
      </c>
    </row>
    <row r="298" spans="1:13" ht="37.799999999999997" x14ac:dyDescent="0.3">
      <c r="A298" s="8" t="s">
        <v>879</v>
      </c>
      <c r="B298" s="8" t="s">
        <v>83</v>
      </c>
      <c r="C298" s="17" t="s">
        <v>880</v>
      </c>
      <c r="D298" s="9" t="s">
        <v>236</v>
      </c>
      <c r="E298" s="9" t="s">
        <v>275</v>
      </c>
      <c r="F298" s="9" t="s">
        <v>242</v>
      </c>
      <c r="G298" s="9" t="s">
        <v>242</v>
      </c>
      <c r="H298" s="9" t="str">
        <f t="shared" si="4"/>
        <v>PASS</v>
      </c>
      <c r="I298" s="8" t="s">
        <v>168</v>
      </c>
      <c r="J298" s="8" t="s">
        <v>168</v>
      </c>
      <c r="K298" s="9" t="s">
        <v>744</v>
      </c>
      <c r="L298" s="8"/>
      <c r="M298" s="8" t="s">
        <v>745</v>
      </c>
    </row>
    <row r="299" spans="1:13" ht="25.2" x14ac:dyDescent="0.3">
      <c r="A299" s="8" t="s">
        <v>881</v>
      </c>
      <c r="B299" s="8" t="s">
        <v>83</v>
      </c>
      <c r="C299" s="17" t="s">
        <v>882</v>
      </c>
      <c r="D299" s="9" t="s">
        <v>236</v>
      </c>
      <c r="E299" s="9" t="s">
        <v>275</v>
      </c>
      <c r="F299" s="9" t="s">
        <v>242</v>
      </c>
      <c r="G299" s="9" t="s">
        <v>242</v>
      </c>
      <c r="H299" s="9" t="str">
        <f t="shared" si="4"/>
        <v>PASS</v>
      </c>
      <c r="I299" s="8" t="s">
        <v>168</v>
      </c>
      <c r="J299" s="8" t="s">
        <v>168</v>
      </c>
      <c r="K299" s="9" t="s">
        <v>744</v>
      </c>
      <c r="L299" s="8"/>
      <c r="M299" s="8" t="s">
        <v>745</v>
      </c>
    </row>
    <row r="300" spans="1:13" x14ac:dyDescent="0.3">
      <c r="A300" s="8" t="s">
        <v>883</v>
      </c>
      <c r="B300" s="8" t="s">
        <v>83</v>
      </c>
      <c r="C300" s="17" t="s">
        <v>884</v>
      </c>
      <c r="D300" s="9" t="s">
        <v>236</v>
      </c>
      <c r="E300" s="9" t="s">
        <v>275</v>
      </c>
      <c r="F300" s="9" t="s">
        <v>242</v>
      </c>
      <c r="G300" s="9" t="s">
        <v>242</v>
      </c>
      <c r="H300" s="9" t="str">
        <f t="shared" si="4"/>
        <v>PASS</v>
      </c>
      <c r="I300" s="8" t="s">
        <v>168</v>
      </c>
      <c r="J300" s="8" t="s">
        <v>168</v>
      </c>
      <c r="K300" s="9" t="s">
        <v>744</v>
      </c>
      <c r="L300" s="8"/>
      <c r="M300" s="8" t="s">
        <v>745</v>
      </c>
    </row>
    <row r="301" spans="1:13" x14ac:dyDescent="0.3">
      <c r="A301" s="8" t="s">
        <v>885</v>
      </c>
      <c r="B301" s="8" t="s">
        <v>83</v>
      </c>
      <c r="C301" s="17" t="s">
        <v>886</v>
      </c>
      <c r="D301" s="9" t="s">
        <v>275</v>
      </c>
      <c r="E301" s="9" t="s">
        <v>275</v>
      </c>
      <c r="F301" s="9" t="s">
        <v>242</v>
      </c>
      <c r="G301" s="9" t="s">
        <v>242</v>
      </c>
      <c r="H301" s="9" t="str">
        <f t="shared" si="4"/>
        <v>PASS</v>
      </c>
      <c r="I301" s="8" t="s">
        <v>168</v>
      </c>
      <c r="J301" s="8" t="s">
        <v>168</v>
      </c>
      <c r="K301" s="9" t="s">
        <v>744</v>
      </c>
      <c r="L301" s="8"/>
      <c r="M301" s="8" t="s">
        <v>745</v>
      </c>
    </row>
  </sheetData>
  <autoFilter ref="A1:M301" xr:uid="{00000000-0009-0000-0000-000003000000}"/>
  <conditionalFormatting sqref="F2:G301">
    <cfRule type="cellIs" dxfId="5" priority="1" operator="equal">
      <formula>"BLOCKED"</formula>
    </cfRule>
    <cfRule type="cellIs" dxfId="4" priority="2" operator="equal">
      <formula>"SAFE"</formula>
    </cfRule>
  </conditionalFormatting>
  <conditionalFormatting sqref="H2:H301">
    <cfRule type="cellIs" dxfId="3" priority="7" operator="equal">
      <formula>"PASS"</formula>
    </cfRule>
    <cfRule type="cellIs" dxfId="2" priority="8" operator="equal">
      <formula>"FAIL"</formula>
    </cfRule>
  </conditionalFormatting>
  <conditionalFormatting sqref="K2:K301">
    <cfRule type="cellIs" dxfId="1" priority="5" operator="equal">
      <formula>"BLOCKED"</formula>
    </cfRule>
    <cfRule type="cellIs" dxfId="0" priority="6" operator="equal">
      <formula>"SAFE"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How It Works</vt:lpstr>
      <vt:lpstr>Rules Explained</vt:lpstr>
      <vt:lpstr>All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NAVODYA P G D it23144330</cp:lastModifiedBy>
  <dcterms:created xsi:type="dcterms:W3CDTF">2026-10-05T07:19:05Z</dcterms:created>
  <dcterms:modified xsi:type="dcterms:W3CDTF">2026-10-05T07:19:55Z</dcterms:modified>
</cp:coreProperties>
</file>